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Summary" sheetId="2" state="visible" r:id="rId4"/>
    <sheet name="CIS IG3 Mapping" sheetId="3" state="visible" r:id="rId5"/>
  </sheets>
  <definedNames>
    <definedName function="false" hidden="true" localSheetId="2" name="_xlnm._FilterDatabase" vbProcedure="false">'CIS IG3 Mapping'!$A$1:$S$154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<sst xmlns="http://schemas.openxmlformats.org/spreadsheetml/2006/main" count="2091" uniqueCount="1071">
  <si>
    <t xml:space="preserve">CIS Critical Security Controls v8.1 — IG3 mapped to Microsoft / Azure / M365</t>
  </si>
  <si>
    <t xml:space="preserve">Scope</t>
  </si>
  <si>
    <t xml:space="preserve">Implementation Group 3 includes every safeguard in CIS Controls v8.1, so all 18 Controls / 153 Safeguards are mapped. IG1/IG2 columns show which safeguards also belong to the lower groups, so the same sheet can be filtered to IG1 or IG2.</t>
  </si>
  <si>
    <t xml:space="preserve">How to use</t>
  </si>
  <si>
    <t xml:space="preserve">1. 'CIS IG3 Mapping' — one row per safeguard: CIS attributes, Microsoft coverage rating, Microsoft services, what to implement, evidence for auditors, licensing notes and related Microsoft Cloud Security Benchmark (MCSB) controls.</t>
  </si>
  <si>
    <t xml:space="preserve">2. Yellow columns (Status, Owner, Target date, Notes) are for you to fill in. Status uses a dropdown: Not started / Planned / In progress / Implemented / Risk accepted / Not applicable. Example: Status = In progress, Owner = Endpoint team, Target date = 2026-12-31, Notes = 'ASR rules in audit; enforce after pilot'.</t>
  </si>
  <si>
    <t xml:space="preserve">3. 'Summary' — counts by Control and coverage rating, plus your implementation progress (calculated from the Status column).</t>
  </si>
  <si>
    <t xml:space="preserve">Coverage rating (Microsoft tooling)</t>
  </si>
  <si>
    <t xml:space="preserve">Native — Microsoft/Azure/M365 tooling can implement the safeguard technically end-to-end with the right licences.</t>
  </si>
  <si>
    <t xml:space="preserve">Partial — Microsoft tooling covers a meaningful part but you need process work, non-Microsoft devices/vendors, or a third party (e.g. pentesters, NAC, physical network gear).</t>
  </si>
  <si>
    <t xml:space="preserve">Process — the safeguard is primarily a documented policy/process; Microsoft tools only host evidence or support it.</t>
  </si>
  <si>
    <t xml:space="preserve">Important caveats</t>
  </si>
  <si>
    <t xml:space="preserve">• Licensing notes are indicative (M365 E3/E5, Entra ID P1/P2/Governance, MDE P2, Defender for Cloud plans, Intune Suite add-ons). Microsoft changes SKUs and bundles often — confirm against current Microsoft licensing guidance before budgeting.</t>
  </si>
  <si>
    <t xml:space="preserve">• MCSB references are indicative pointers to the Microsoft Cloud Security Benchmark family/control; use Microsoft's official MCSB ↔ CIS v8 mapping for audit purposes.</t>
  </si>
  <si>
    <t xml:space="preserve">• Safeguard titles, asset types and security functions follow CIS Controls v8.1; verify against your licensed copy of the CIS Controls for exact wording and thresholds (e.g. 45-day dormancy, 90-day log retention).</t>
  </si>
  <si>
    <t xml:space="preserve">• Purview Compliance Manager offers regulatory templates for many standards; check its regulations list for a CIS Controls template to track this programme with continuous assessment.</t>
  </si>
  <si>
    <t xml:space="preserve">CIS v8.1 IG3 → Microsoft coverage summary</t>
  </si>
  <si>
    <t xml:space="preserve">All figures are formulas over the 'CIS IG3 Mapping' sheet and update as you fill in Status.</t>
  </si>
  <si>
    <t xml:space="preserve">Control</t>
  </si>
  <si>
    <t xml:space="preserve">Control Title</t>
  </si>
  <si>
    <t xml:space="preserve">Safeguards</t>
  </si>
  <si>
    <t xml:space="preserve">IG1</t>
  </si>
  <si>
    <t xml:space="preserve">IG2</t>
  </si>
  <si>
    <t xml:space="preserve">Native</t>
  </si>
  <si>
    <t xml:space="preserve">Partial</t>
  </si>
  <si>
    <t xml:space="preserve">Process</t>
  </si>
  <si>
    <t xml:space="preserve">Implemented</t>
  </si>
  <si>
    <t xml:space="preserve">In progress / Planned</t>
  </si>
  <si>
    <t xml:space="preserve">Not started / blank</t>
  </si>
  <si>
    <t xml:space="preserve">% Implemented</t>
  </si>
  <si>
    <t xml:space="preserve">Inventory and Control of Enterprise Assets</t>
  </si>
  <si>
    <t xml:space="preserve">Inventory and Control of Software Assets</t>
  </si>
  <si>
    <t xml:space="preserve">Data Protection</t>
  </si>
  <si>
    <t xml:space="preserve">Secure Configuration of Enterprise Assets and Software</t>
  </si>
  <si>
    <t xml:space="preserve">Account Management</t>
  </si>
  <si>
    <t xml:space="preserve">Access Control Management</t>
  </si>
  <si>
    <t xml:space="preserve">Continuous Vulnerability Management</t>
  </si>
  <si>
    <t xml:space="preserve">Audit Log Management</t>
  </si>
  <si>
    <t xml:space="preserve">Email and Web Browser Protections</t>
  </si>
  <si>
    <t xml:space="preserve">Malware Defenses</t>
  </si>
  <si>
    <t xml:space="preserve">Data Recovery</t>
  </si>
  <si>
    <t xml:space="preserve">Network Infrastructure Management</t>
  </si>
  <si>
    <t xml:space="preserve">Network Monitoring and Defense</t>
  </si>
  <si>
    <t xml:space="preserve">Security Awareness and Skills Training</t>
  </si>
  <si>
    <t xml:space="preserve">Service Provider Management</t>
  </si>
  <si>
    <t xml:space="preserve">Application Software Security</t>
  </si>
  <si>
    <t xml:space="preserve">Incident Response Management</t>
  </si>
  <si>
    <t xml:space="preserve">Penetration Testing</t>
  </si>
  <si>
    <t xml:space="preserve">Total</t>
  </si>
  <si>
    <t xml:space="preserve">% Implemented excludes safeguards marked 'Not applicable'. Coverage ratings: see 'Read Me'.</t>
  </si>
  <si>
    <t xml:space="preserve">Safeguard</t>
  </si>
  <si>
    <t xml:space="preserve">Safeguard Title</t>
  </si>
  <si>
    <t xml:space="preserve">Asset Type</t>
  </si>
  <si>
    <t xml:space="preserve">Security Function</t>
  </si>
  <si>
    <t xml:space="preserve">IG3</t>
  </si>
  <si>
    <t xml:space="preserve">Microsoft Coverage</t>
  </si>
  <si>
    <t xml:space="preserve">Microsoft / Azure / M365 Services</t>
  </si>
  <si>
    <t xml:space="preserve">What to Implement to be Compliant</t>
  </si>
  <si>
    <t xml:space="preserve">Evidence for Audit</t>
  </si>
  <si>
    <t xml:space="preserve">Licensing Notes</t>
  </si>
  <si>
    <t xml:space="preserve">Related MCSB</t>
  </si>
  <si>
    <t xml:space="preserve">Status</t>
  </si>
  <si>
    <t xml:space="preserve">Owner</t>
  </si>
  <si>
    <t xml:space="preserve">Target Date</t>
  </si>
  <si>
    <t xml:space="preserve">Notes</t>
  </si>
  <si>
    <t xml:space="preserve">1.1</t>
  </si>
  <si>
    <t xml:space="preserve">Establish and Maintain a Detailed Enterprise Asset Inventory</t>
  </si>
  <si>
    <t xml:space="preserve">Devices</t>
  </si>
  <si>
    <t xml:space="preserve">Identify</t>
  </si>
  <si>
    <t xml:space="preserve">✓</t>
  </si>
  <si>
    <t xml:space="preserve">Intune; Defender for Endpoint (device inventory); Entra ID devices; Azure Resource Graph; Defender for Cloud; Azure Arc</t>
  </si>
  <si>
    <t xml:space="preserve">Enrol all Windows/macOS/iOS/Android devices in Intune (Autopilot / auto-enrolment via Entra join). Onboard every endpoint and server to Defender for Endpoint so the Device inventory is authoritative. Onboard on-prem/other-cloud servers via Azure Arc so they appear in Azure Resource Graph. Use tags/device categories for owner, department and criticality. Export Intune + MDE + Resource Graph inventories on a schedule (Graph API / Logic App) into a single register and review at least twice a year.</t>
  </si>
  <si>
    <t xml:space="preserve">Intune 'All devices' export; MDE Device inventory; Resource Graph query of all resources; review sign-off record.</t>
  </si>
  <si>
    <t xml:space="preserve">Intune (M365 E3/E5 or EMS); MDE P2 for full inventory; Azure Arc free for inventory, paid for extra services.</t>
  </si>
  <si>
    <t xml:space="preserve">AM-1</t>
  </si>
  <si>
    <t xml:space="preserve">1.2</t>
  </si>
  <si>
    <t xml:space="preserve">Address Unauthorized Assets</t>
  </si>
  <si>
    <t xml:space="preserve">Respond</t>
  </si>
  <si>
    <t xml:space="preserve">Intune compliance policies; Entra Conditional Access; Defender for Endpoint (device discovery, 'unmanaged' status); Network Access Control (3rd party)</t>
  </si>
  <si>
    <t xml:space="preserve">Require 'device marked compliant' / 'Entra hybrid joined' in Conditional Access so unmanaged devices cannot reach M365/Azure resources. Review MDE Device inventory 'Onboarding status: Can be onboarded / Unsupported' weekly and either onboard, isolate or remove. Use Intune device clean-up rules to retire stale records. Document the weekly review and disposition (remove/deny/quarantine).</t>
  </si>
  <si>
    <t xml:space="preserve">Conditional Access policy export; weekly MDE discovered-device review log; Intune device clean-up rule settings.</t>
  </si>
  <si>
    <t xml:space="preserve">Entra ID P1 for Conditional Access; MDE P2.</t>
  </si>
  <si>
    <t xml:space="preserve">AM-1, NS-1</t>
  </si>
  <si>
    <t xml:space="preserve">1.3</t>
  </si>
  <si>
    <t xml:space="preserve">Utilize an Active Discovery Tool</t>
  </si>
  <si>
    <t xml:space="preserve">Detect</t>
  </si>
  <si>
    <t xml:space="preserve">Defender for Endpoint device discovery (Standard/active probing); Defender for IoT; Defender External Attack Surface Management</t>
  </si>
  <si>
    <t xml:space="preserve">Set MDE Device discovery mode to 'Standard discovery' so onboarded devices actively probe the network. Configure monitored networks and exclusions in Settings &gt; Device discovery. Use Defender for IoT for OT/IoT segments and Defender EASM for internet-facing assets. Run discovery at least daily; feed new findings into the 1.2 process.</t>
  </si>
  <si>
    <t xml:space="preserve">MDE Device discovery settings screenshot; discovered-device report; EASM inventory.</t>
  </si>
  <si>
    <t xml:space="preserve">MDE P2 / Defender for Business; Defender for IoT and EASM licensed separately.</t>
  </si>
  <si>
    <t xml:space="preserve">1.4</t>
  </si>
  <si>
    <t xml:space="preserve">Use DHCP Logging to Update Enterprise Asset Inventory</t>
  </si>
  <si>
    <t xml:space="preserve">Windows Server DHCP audit logs; Azure Monitor Agent + Data Collection Rules; Microsoft Sentinel; (Azure VNets use platform DHCP with no customer logs)</t>
  </si>
  <si>
    <t xml:space="preserve">Enable DHCP audit logging on Windows DHCP servers (or your network DHCP appliance). Collect the logs with Azure Monitor Agent / syslog connector into Sentinel. Build a scheduled KQL query that lists MAC/IP/hostname leases not present in the MDE/Intune inventory and raise an incident or update the asset register weekly. In Azure, use NIC/VM inventory from Resource Graph instead because Azure DHCP is platform-managed.</t>
  </si>
  <si>
    <t xml:space="preserve">DCR config; Sentinel analytics rule 'DHCP lease not in inventory'; weekly results.</t>
  </si>
  <si>
    <t xml:space="preserve">Sentinel / Log Analytics ingestion cost.</t>
  </si>
  <si>
    <t xml:space="preserve">AM-1, LT-1</t>
  </si>
  <si>
    <t xml:space="preserve">1.5</t>
  </si>
  <si>
    <t xml:space="preserve">Use a Passive Asset Discovery Tool</t>
  </si>
  <si>
    <t xml:space="preserve">Defender for Endpoint (Basic/passive discovery); Defender for IoT network sensors; Defender for Identity</t>
  </si>
  <si>
    <t xml:space="preserve">Keep MDE passive discovery enabled (it is on by default with Standard mode). Deploy Defender for IoT sensors on SPAN/TAP ports in OT, IoT and data-centre segments for passive fingerprinting. Defender for Identity sensors on domain controllers add passive identification of devices authenticating to AD. Review newly discovered assets weekly and update the inventory.</t>
  </si>
  <si>
    <t xml:space="preserve">Defender for IoT sensor list and device inventory; MDE discovered devices with 'Discovery source' passive.</t>
  </si>
  <si>
    <t xml:space="preserve">MDE P2; Defender for IoT (per-site licence); Defender for Identity (E5 Security).</t>
  </si>
  <si>
    <t xml:space="preserve">2.1</t>
  </si>
  <si>
    <t xml:space="preserve">Establish and Maintain a Software Inventory</t>
  </si>
  <si>
    <t xml:space="preserve">Software</t>
  </si>
  <si>
    <t xml:space="preserve">Defender Vulnerability Management (Software inventory); Intune Discovered apps; Azure Arc / Defender for Servers; Configuration Manager</t>
  </si>
  <si>
    <t xml:space="preserve">Use MDE/Defender Vulnerability Management Software inventory as the system of record (publisher, version, install count, end-of-support). Supplement with Intune 'Discovered apps' and Intune app catalogue for business purpose/owner. For servers, onboard Defender for Servers via Arc. Export via Graph/Advanced Hunting (DeviceTvmSoftwareInventory) and add business owner, purpose, approval status. Review every six months.</t>
  </si>
  <si>
    <t xml:space="preserve">DVM software inventory export; approved software register with owners and review date.</t>
  </si>
  <si>
    <t xml:space="preserve">MDE P2 includes core TVM; DVM add-on / Defender for Servers P2 for full features.</t>
  </si>
  <si>
    <t xml:space="preserve">AM-2, AM-5</t>
  </si>
  <si>
    <t xml:space="preserve">2.2</t>
  </si>
  <si>
    <t xml:space="preserve">Ensure Authorized Software is Currently Supported</t>
  </si>
  <si>
    <t xml:space="preserve">Defender Vulnerability Management (end-of-support software &amp; versions); Intune; Azure Advisor / Defender for Cloud</t>
  </si>
  <si>
    <t xml:space="preserve">Use DVM 'End of support' filter and the 'Upgrade' security recommendations to identify unsupported apps/OS. Track Windows/Office servicing channels in Intune (Windows Update rings, feature update policies, M365 Apps update channel). Record documented exceptions with compensating controls for anything unsupported that must remain. Review monthly.</t>
  </si>
  <si>
    <t xml:space="preserve">DVM EOS report; exception register with compensating controls.</t>
  </si>
  <si>
    <t xml:space="preserve">MDE P2 / DVM add-on.</t>
  </si>
  <si>
    <t xml:space="preserve">AM-2, PV-6</t>
  </si>
  <si>
    <t xml:space="preserve">2.3</t>
  </si>
  <si>
    <t xml:space="preserve">Address Unauthorized Software</t>
  </si>
  <si>
    <t xml:space="preserve">Defender Vulnerability Management (block vulnerable apps / remediation requests); Intune (uninstall assignments); App Control for Business; Defender for Cloud Apps</t>
  </si>
  <si>
    <t xml:space="preserve">Review the software inventory monthly against the approved list. Remove unauthorized software using Intune uninstall assignments or Win32 app with uninstall command, or create DVM remediation requests. Block it from running with App Control for Business / MDE indicators (file hash / certificate). For SaaS, mark unsanctioned apps in Defender for Cloud Apps to block via MDE network protection.</t>
  </si>
  <si>
    <t xml:space="preserve">Monthly unauthorized-software review; Intune uninstall assignments; MDE file/cert indicators; MDCA unsanctioned apps list.</t>
  </si>
  <si>
    <t xml:space="preserve">MDE P2; Intune; Defender for Cloud Apps (E5).</t>
  </si>
  <si>
    <t xml:space="preserve">AM-5</t>
  </si>
  <si>
    <t xml:space="preserve">2.4</t>
  </si>
  <si>
    <t xml:space="preserve">Utilize Automated Software Inventory Tools</t>
  </si>
  <si>
    <t xml:space="preserve">Defender for Endpoint / DVM; Intune Discovered apps; Defender for Servers (Arc); Azure Update Manager / Change Tracking &amp; Inventory</t>
  </si>
  <si>
    <t xml:space="preserve">Ensure 100% of endpoints and servers are onboarded to MDE (sensor collects software inventory continuously). Enable Change Tracking and Inventory on Azure/Arc servers for installed software and service changes. Use Advanced Hunting/Graph to automate the inventory export for 2.1.</t>
  </si>
  <si>
    <t xml:space="preserve">Onboarding coverage report (% devices onboarded); Change Tracking workspace data.</t>
  </si>
  <si>
    <t xml:space="preserve">MDE P2; Defender for Servers; Log Analytics ingestion.</t>
  </si>
  <si>
    <t xml:space="preserve">AM-2</t>
  </si>
  <si>
    <t xml:space="preserve">2.5</t>
  </si>
  <si>
    <t xml:space="preserve">Allowlist Authorized Software</t>
  </si>
  <si>
    <t xml:space="preserve">Protect</t>
  </si>
  <si>
    <t xml:space="preserve">App Control for Business (WDAC) via Intune incl. Managed Installer and ISG; AppLocker; Defender for Cloud adaptive application controls (retired - use WDAC); Intune Endpoint Privilege Management</t>
  </si>
  <si>
    <t xml:space="preserve">Deploy App Control for Business policies through Intune: start in audit mode, set Intune Management Extension as Managed Installer, optionally trust Intelligent Security Graph, then enforce. Use supplemental policies for line-of-business apps signed with your certificate. Pair with standard-user accounts and Intune Endpoint Privilege Management so users cannot install unapproved software. Review policy at least twice a year.</t>
  </si>
  <si>
    <t xml:space="preserve">Intune App Control policy (enforced); CodeIntegrity event logs / Advanced Hunting DeviceEvents AppControl*; review records.</t>
  </si>
  <si>
    <t xml:space="preserve">Windows Enterprise/Education (E3+) for App Control; EPM needs Intune Suite/add-on.</t>
  </si>
  <si>
    <t xml:space="preserve">AM-5, ES-2</t>
  </si>
  <si>
    <t xml:space="preserve">2.6</t>
  </si>
  <si>
    <t xml:space="preserve">Allowlist Authorized Libraries</t>
  </si>
  <si>
    <t xml:space="preserve">App Control for Business (DLL enforcement); AppLocker DLL rules</t>
  </si>
  <si>
    <t xml:space="preserve">Enable DLL/driver enforcement in App Control for Business policies (it covers .dll and .sys files when 'Disabled: Script Enforcement' not set and kernel/user mode rules defined). Allow libraries by publisher signer or hash; test in audit mode before enforcement. For servers, use the same policies via Arc/GPO.</t>
  </si>
  <si>
    <t xml:space="preserve">App Control policy XML showing user-mode code integrity &amp; signer rules; audit/enforce event logs.</t>
  </si>
  <si>
    <t xml:space="preserve">Windows Enterprise / Server.</t>
  </si>
  <si>
    <t xml:space="preserve">2.7</t>
  </si>
  <si>
    <t xml:space="preserve">Allowlist Authorized Scripts</t>
  </si>
  <si>
    <t xml:space="preserve">App Control for Business script enforcement (PowerShell Constrained Language Mode); Intune script signing; AMSI; ASR rules</t>
  </si>
  <si>
    <t xml:space="preserve">Enable script enforcement in App Control so unsigned PowerShell runs in Constrained Language Mode and unapproved .js/.vbs/.ps1 are blocked. Sign approved scripts with an internal code-signing cert and set PowerShell execution policy AllSigned via Intune. Add ASR rules 'Block execution of potentially obfuscated scripts' and 'Block JavaScript or VBScript from launching downloaded executable content'. Keep AMSI enabled.</t>
  </si>
  <si>
    <t xml:space="preserve">App Control policy with script enforcement; Intune PowerShell execution policy; ASR rule report.</t>
  </si>
  <si>
    <t xml:space="preserve">Windows Enterprise; MDE for ASR reporting.</t>
  </si>
  <si>
    <t xml:space="preserve">3.1</t>
  </si>
  <si>
    <t xml:space="preserve">Establish and Maintain a Data Management Process</t>
  </si>
  <si>
    <t xml:space="preserve">Data</t>
  </si>
  <si>
    <t xml:space="preserve">Govern</t>
  </si>
  <si>
    <t xml:space="preserve">Microsoft Purview (Compliance Manager, Information Protection, Data Lifecycle Management); SharePoint policy library</t>
  </si>
  <si>
    <t xml:space="preserve">Write and approve a data management policy covering data sensitivity, owners, handling, retention and disposal. Implement it technically through Purview sensitivity labels (3.7), retention policies (3.4) and DLP (3.13). Track the policy as evidence in Compliance Manager and review annually or on significant change.</t>
  </si>
  <si>
    <t xml:space="preserve">Approved data management policy; Compliance Manager evidence; annual review record.</t>
  </si>
  <si>
    <t xml:space="preserve">Purview features vary by E3/E5.</t>
  </si>
  <si>
    <t xml:space="preserve">DP-1, GS-4</t>
  </si>
  <si>
    <t xml:space="preserve">3.2</t>
  </si>
  <si>
    <t xml:space="preserve">Establish and Maintain a Data Inventory</t>
  </si>
  <si>
    <t xml:space="preserve">Microsoft Purview Data Map / Unified Catalog; Purview Content Explorer &amp; Data Explorer; Defender for Cloud (sensitive data discovery); Data Security Posture Management</t>
  </si>
  <si>
    <t xml:space="preserve">Use Purview Content Explorer to inventory sensitive information types and labels across Exchange, SharePoint, OneDrive and Teams. Register Azure data sources (SQL, Storage, Synapse, Fabric) and on-prem sources in Purview Data Map and run classification scans. Enable Defender CSPM sensitive data discovery for storage/databases. Record owners and sensitivity; review annually (prioritise sensitive data).</t>
  </si>
  <si>
    <t xml:space="preserve">Purview Data Map scan results; Content Explorer report; data owner register.</t>
  </si>
  <si>
    <t xml:space="preserve">Content Explorer needs E5 Compliance; Data Map is pay-as-you-go; Defender CSPM plan.</t>
  </si>
  <si>
    <t xml:space="preserve">DP-1</t>
  </si>
  <si>
    <t xml:space="preserve">3.3</t>
  </si>
  <si>
    <t xml:space="preserve">Configure Data Access Control Lists</t>
  </si>
  <si>
    <t xml:space="preserve">SharePoint/OneDrive permissions &amp; sharing settings; Entra groups; Azure RBAC; Storage/SQL Entra authentication; SharePoint Advanced Management (site access reviews); Entra Access Reviews</t>
  </si>
  <si>
    <t xml:space="preserve">Restrict tenant and site-level external sharing; default sharing links to 'Specific people'. Grant access via Entra security groups, not individuals. Use Azure RBAC and Entra-only authentication for Storage, SQL and Key Vault (disable shared keys / SQL auth where possible). Run Entra access reviews on groups/Teams that grant access to sensitive data and SharePoint Advanced Management data access governance reports for overshared sites.</t>
  </si>
  <si>
    <t xml:space="preserve">Sharing settings export; RBAC assignments; access review results; oversharing reports.</t>
  </si>
  <si>
    <t xml:space="preserve">Access Reviews need Entra ID P2/Governance; SharePoint Advanced Management add-on (included with Copilot).</t>
  </si>
  <si>
    <t xml:space="preserve">DP-1, PA-7, IM-1</t>
  </si>
  <si>
    <t xml:space="preserve">3.4</t>
  </si>
  <si>
    <t xml:space="preserve">Enforce Data Retention</t>
  </si>
  <si>
    <t xml:space="preserve">Purview Data Lifecycle Management / Records Management (retention policies &amp; labels); Azure Storage lifecycle management; Azure SQL long-term retention</t>
  </si>
  <si>
    <t xml:space="preserve">Create Purview retention policies per workload (Exchange, SharePoint, OneDrive, Teams) that keep and then delete data per the retention schedule. Use retention labels (auto-apply on SITs/trainable classifiers in E5) for records with specific periods. For Azure data, use Storage lifecycle policies and immutable storage where required. Document minimum and maximum timelines per data class.</t>
  </si>
  <si>
    <t xml:space="preserve">Retention policy list and scope; retention schedule document; lifecycle rules.</t>
  </si>
  <si>
    <t xml:space="preserve">Basic retention in E3; auto-apply labels and Records Management in E5 Compliance.</t>
  </si>
  <si>
    <t xml:space="preserve">3.5</t>
  </si>
  <si>
    <t xml:space="preserve">Securely Dispose of Data</t>
  </si>
  <si>
    <t xml:space="preserve">Purview disposition reviews / retention delete; Intune Wipe / Autopilot Reset; BitLocker (crypto-erase); Azure Storage deletion (platform sanitisation)</t>
  </si>
  <si>
    <t xml:space="preserve">Use Purview retention with 'delete at end of period' and disposition reviews for records, with proof-of-disposition. Wipe devices with Intune Wipe before reassignment/disposal; BitLocker ensures data is unrecoverable once keys are removed. Microsoft sanitises Azure/M365 media per its NIST 800-88 process (see Service Trust Portal). Use a certified vendor for physical media destruction.</t>
  </si>
  <si>
    <t xml:space="preserve">Disposition review records; Intune wipe audit log; destruction certificates; Microsoft STP data-destruction documentation.</t>
  </si>
  <si>
    <t xml:space="preserve">Disposition reviews need E5 Compliance / Records Management.</t>
  </si>
  <si>
    <t xml:space="preserve">DP-1, AM-1</t>
  </si>
  <si>
    <t xml:space="preserve">3.6</t>
  </si>
  <si>
    <t xml:space="preserve">Encrypt Data on End-User Devices</t>
  </si>
  <si>
    <t xml:space="preserve">Intune Endpoint security &gt; Disk encryption (BitLocker, FileVault); Intune compliance policies; iOS/Android native encryption</t>
  </si>
  <si>
    <t xml:space="preserve">Deploy Intune BitLocker policy (XTS-AES 256, silent encryption, TPM protector, recovery keys escrowed to Entra ID) and FileVault policy for macOS (keys escrowed to Intune). Require encryption in compliance policies and enforce via Conditional Access. Mobile devices: require device encryption/passcode in compliance policy.</t>
  </si>
  <si>
    <t xml:space="preserve">Intune encryption report; compliance policy; Conditional Access requiring compliant device.</t>
  </si>
  <si>
    <t xml:space="preserve">Intune; Windows Pro+ for BitLocker.</t>
  </si>
  <si>
    <t xml:space="preserve">DP-5, ES-3</t>
  </si>
  <si>
    <t xml:space="preserve">3.7</t>
  </si>
  <si>
    <t xml:space="preserve">Establish and Maintain a Data Classification Scheme</t>
  </si>
  <si>
    <t xml:space="preserve">Microsoft Purview Information Protection (sensitivity labels, label policies, default labels); sensitive information types; trainable classifiers</t>
  </si>
  <si>
    <t xml:space="preserve">Define a classification scheme (e.g. Public / Internal / Confidential / Highly Confidential) and implement it as Purview sensitivity labels with encryption, marking and container (Teams/SharePoint) settings. Publish label policies with mandatory labelling and default labels. Enable auto-labelling for SITs (client-side in E3 apps; service-side in E5). Review annually.</t>
  </si>
  <si>
    <t xml:space="preserve">Label taxonomy document; label &amp; policy configuration; label usage in Activity Explorer.</t>
  </si>
  <si>
    <t xml:space="preserve">Manual labels in E3; auto-labelling &amp; Activity Explorer in E5 Compliance.</t>
  </si>
  <si>
    <t xml:space="preserve">3.8</t>
  </si>
  <si>
    <t xml:space="preserve">Document Data Flows</t>
  </si>
  <si>
    <t xml:space="preserve">Purview Data Map lineage; Azure Data Factory/Fabric lineage; Visio/Whiteboard; Defender CSPM attack-path / data-sensitivity insights</t>
  </si>
  <si>
    <t xml:space="preserve">Document flows of sensitive data between systems, including service providers. Use Purview lineage for ADF/Synapse/Fabric pipelines and Defender CSPM data sensitivity map for cloud stores. Maintain data flow diagrams in a controlled SharePoint library and review annually or on major change.</t>
  </si>
  <si>
    <t xml:space="preserve">Data flow diagrams with version history; Purview lineage views.</t>
  </si>
  <si>
    <t xml:space="preserve">Purview Data Map consumption; Defender CSPM.</t>
  </si>
  <si>
    <t xml:space="preserve">DP-1, GS-3</t>
  </si>
  <si>
    <t xml:space="preserve">3.9</t>
  </si>
  <si>
    <t xml:space="preserve">Encrypt Data on Removable Media</t>
  </si>
  <si>
    <t xml:space="preserve">Intune BitLocker policy (Deny write access to removable drives not protected by BitLocker / BitLocker To Go); Defender device control</t>
  </si>
  <si>
    <t xml:space="preserve">In Intune BitLocker settings enable 'Deny write access to removable drives not protected by BitLocker' and require BitLocker To Go with AES-256. Combine with Defender Device Control to allow only approved encrypted USB models. Apply Purview Endpoint DLP to block copying sensitive data to USB.</t>
  </si>
  <si>
    <t xml:space="preserve">Intune BitLocker removable drive settings; Device Control policy; Endpoint DLP rules.</t>
  </si>
  <si>
    <t xml:space="preserve">Windows Enterprise; MDE; Endpoint DLP needs E5 Compliance.</t>
  </si>
  <si>
    <t xml:space="preserve">3.10</t>
  </si>
  <si>
    <t xml:space="preserve">Encrypt Sensitive Data in Transit</t>
  </si>
  <si>
    <t xml:space="preserve">M365 TLS 1.2+ (default); Exchange TLS / MTA-STS / connectors with forced TLS; Azure Policy (HTTPS only, minimum TLS 1.2 on Storage, App Service, SQL); Azure VPN Gateway / ExpressRoute MACsec; Purview Message Encryption</t>
  </si>
  <si>
    <t xml:space="preserve">Use Azure Policy built-ins to enforce 'Secure transfer to storage accounts', 'Minimum TLS version 1.2', 'App Service should only be accessible over HTTPS' and 'Function apps HTTPS only'. Configure Exchange Online inbound/outbound connectors with mandatory TLS for partners and publish MTA-STS. Use Purview Message Encryption / sensitivity labels for sensitive email. Disable legacy protocols (SMBv1, TLS 1.0/1.1) via Intune/GPO.</t>
  </si>
  <si>
    <t xml:space="preserve">Azure Policy compliance report; Exchange connector config; Intune protocol hardening profiles.</t>
  </si>
  <si>
    <t xml:space="preserve">Azure Policy free; Purview Message Encryption in E3 (Advanced in E5).</t>
  </si>
  <si>
    <t xml:space="preserve">DP-3</t>
  </si>
  <si>
    <t xml:space="preserve">3.11</t>
  </si>
  <si>
    <t xml:space="preserve">Encrypt Sensitive Data at Rest</t>
  </si>
  <si>
    <t xml:space="preserve">Azure Storage/SQL TDE/Disk encryption (platform, CMK via Key Vault); Azure Disk Encryption / encryption at host; M365 Customer Key; Purview sensitivity labels with encryption; Key Vault / Managed HSM</t>
  </si>
  <si>
    <t xml:space="preserve">Azure: platform encryption is on by default; for sensitive data use customer-managed keys in Key Vault/Managed HSM and enforce via Azure Policy (CMK, encryption at host, TDE). M365: data is encrypted at rest by default; consider Customer Key for tenant-held keys. Add application-layer encryption via sensitivity labels (Rights Management) for highly sensitive files. Protect keys with RBAC, purge protection and rotation.</t>
  </si>
  <si>
    <t xml:space="preserve">Azure Policy CMK compliance; Key Vault configuration; label encryption settings.</t>
  </si>
  <si>
    <t xml:space="preserve">Customer Key needs E5 Compliance; Key Vault/Managed HSM consumption.</t>
  </si>
  <si>
    <t xml:space="preserve">DP-4, DP-5, DP-6</t>
  </si>
  <si>
    <t xml:space="preserve">3.12</t>
  </si>
  <si>
    <t xml:space="preserve">Segment Data Processing and Storage Based on Sensitivity</t>
  </si>
  <si>
    <t xml:space="preserve">Network</t>
  </si>
  <si>
    <t xml:space="preserve">Azure landing zones (management groups, subscriptions); VNets/NSGs/Private Endpoints; Azure Firewall; SharePoint sensitivity-labelled sites; Information Barriers; Purview Administrative Units</t>
  </si>
  <si>
    <t xml:space="preserve">Place sensitive workloads in dedicated subscriptions / VNets with private endpoints and no public network access (enforce with Azure Policy). Segment with NSGs and Azure Firewall. In M365, keep highly confidential data in labelled Teams/SharePoint sites with restricted membership, block guest access and use Restricted Access Control. Do not process sensitive data on assets of lower classification.</t>
  </si>
  <si>
    <t xml:space="preserve">Landing zone design; Azure Policy 'public network access disabled'; site/label settings.</t>
  </si>
  <si>
    <t xml:space="preserve">Azure Firewall/Private Link consumption; Information Barriers in E5.</t>
  </si>
  <si>
    <t xml:space="preserve">NS-1, NS-2, DP-1</t>
  </si>
  <si>
    <t xml:space="preserve">3.13</t>
  </si>
  <si>
    <t xml:space="preserve">Deploy a Data Loss Prevention Solution</t>
  </si>
  <si>
    <t xml:space="preserve">Microsoft Purview DLP (Exchange, SharePoint, OneDrive, Teams, Endpoint, Copilot, on-prem scanner); Defender for Cloud Apps; Edge for Business DLP</t>
  </si>
  <si>
    <t xml:space="preserve">Deploy Purview DLP policies for each location using sensitive info types, trainable classifiers and sensitivity labels; start in simulation then enforce with block/override. Enable Endpoint DLP (USB, print, cloud upload, clipboard, unallowed apps/browsers). Use Defender for Cloud Apps session policies to control downloads from unmanaged devices. Deploy the Purview information protection scanner for on-prem file shares. Review DLP alerts in Defender XDR.</t>
  </si>
  <si>
    <t xml:space="preserve">DLP policy list (enforced); DLP alerts and Activity Explorer; scanner reports.</t>
  </si>
  <si>
    <t xml:space="preserve">Exchange/SPO/OD DLP in E3; Teams, Endpoint DLP &amp; advanced in E5 Compliance.</t>
  </si>
  <si>
    <t xml:space="preserve">DP-2</t>
  </si>
  <si>
    <t xml:space="preserve">3.14</t>
  </si>
  <si>
    <t xml:space="preserve">Log Sensitive Data Access</t>
  </si>
  <si>
    <t xml:space="preserve">Purview Audit (Standard/Premium), Activity Explorer; Azure Storage/SQL diagnostic logs; Sentinel; Defender for Cloud Apps</t>
  </si>
  <si>
    <t xml:space="preserve">Ensure Purview unified audit logging is on (default) and use Audit Premium for MailItemsAccessed and longer retention. Enable diagnostic logging for Storage (read operations), SQL auditing, Key Vault and Cosmos DB, sending to Log Analytics/Sentinel. Build Sentinel/Insider Risk alerts for mass download or access to Highly Confidential labels.</t>
  </si>
  <si>
    <t xml:space="preserve">Audit configuration; diagnostic setting policy compliance; sample audit search for labelled files.</t>
  </si>
  <si>
    <t xml:space="preserve">Audit Premium in E5; Sentinel/Log Analytics ingestion.</t>
  </si>
  <si>
    <t xml:space="preserve">DP-2, LT-4</t>
  </si>
  <si>
    <t xml:space="preserve">4.1</t>
  </si>
  <si>
    <t xml:space="preserve">Establish and Maintain a Secure Configuration Process</t>
  </si>
  <si>
    <t xml:space="preserve">Documentation</t>
  </si>
  <si>
    <t xml:space="preserve">Intune security baselines &amp; Settings catalog; Microsoft Security Compliance Toolkit; Azure Policy &amp; Machine Configuration; Defender for Cloud secure score; Defender Vulnerability Management security baseline assessments</t>
  </si>
  <si>
    <t xml:space="preserve">Adopt documented baselines (e.g. CIS Benchmarks / Microsoft security baselines / OpenIntuneBaseline) for Windows, macOS, mobile, servers and M365. Deploy them through Intune security baselines/Settings catalog and, for servers, Azure Machine Configuration or GPO. Measure drift with DVM security baseline assessments (CIS/STIG profiles) and Defender for Cloud. Review annually.</t>
  </si>
  <si>
    <t xml:space="preserve">Baseline documents; Intune profile assignments; DVM baseline compliance %; secure score history.</t>
  </si>
  <si>
    <t xml:space="preserve">DVM baselines need DVM add-on / MDE P2+; Defender for Servers P2 for Machine Configuration.</t>
  </si>
  <si>
    <t xml:space="preserve">PV-1, PV-2, PV-3</t>
  </si>
  <si>
    <t xml:space="preserve">4.2</t>
  </si>
  <si>
    <t xml:space="preserve">Establish and Maintain a Secure Configuration Process for Network Infrastructure</t>
  </si>
  <si>
    <t xml:space="preserve">Azure Policy (NSG, Firewall, App Gateway, Front Door); Azure Firewall Manager policies; Defender CSPM; Network vendor tooling for physical devices</t>
  </si>
  <si>
    <t xml:space="preserve">Define secure configuration standards for Azure network services (Azure Policy initiatives for NSGs, WAF enabled, DDoS, no public IP on management ports) and manage Azure Firewall rules centrally via Firewall Manager. For physical switches/firewalls/Wi-Fi use vendor CIS benchmarks and config management. Review annually.</t>
  </si>
  <si>
    <t xml:space="preserve">Network configuration standard; Azure Policy compliance; firewall policy versions.</t>
  </si>
  <si>
    <t xml:space="preserve">Azure Policy free; Defender CSPM plan.</t>
  </si>
  <si>
    <t xml:space="preserve">NS-1, PV-1</t>
  </si>
  <si>
    <t xml:space="preserve">4.3</t>
  </si>
  <si>
    <t xml:space="preserve">Configure Automatic Session Locking on Enterprise Assets</t>
  </si>
  <si>
    <t xml:space="preserve">Intune Settings catalog (Interactive logon: machine inactivity limit, screen saver); macOS screen lock; mobile passcode policies; Entra Conditional Access sign-in frequency</t>
  </si>
  <si>
    <t xml:space="preserve">Set 'Interactive logon: Machine inactivity limit' to 900 seconds or less on Windows (15 min general purpose, 2 min mobile per CIS), macOS screensaver/password delay via Intune, and maximum inactivity before lock on iOS/Android. Use Conditional Access session controls / app idle timeout for browser sessions on unmanaged devices.</t>
  </si>
  <si>
    <t xml:space="preserve">Intune configuration profiles and compliance status.</t>
  </si>
  <si>
    <t xml:space="preserve">Intune.</t>
  </si>
  <si>
    <t xml:space="preserve">ES-2, PV-4</t>
  </si>
  <si>
    <t xml:space="preserve">4.4</t>
  </si>
  <si>
    <t xml:space="preserve">Implement and Manage a Firewall on Servers</t>
  </si>
  <si>
    <t xml:space="preserve">Windows Defender Firewall via Intune/GPO/Machine Configuration; Azure NSGs &amp; ASGs; Azure Firewall; Defender for Cloud (JIT VM access, NSG hardening recommendations)</t>
  </si>
  <si>
    <t xml:space="preserve">Enable Windows Firewall on all profiles with default-deny inbound on servers (Intune/GPO/Azure Machine Configuration). Apply NSGs on every subnet/NIC with least-privilege rules; use Azure Firewall for egress. Enable Defender for Cloud Just-In-Time VM access to close management ports. Review rule sets periodically.</t>
  </si>
  <si>
    <t xml:space="preserve">Firewall policy; NSG rule exports; Defender for Cloud recommendation status.</t>
  </si>
  <si>
    <t xml:space="preserve">JIT needs Defender for Servers P2.</t>
  </si>
  <si>
    <t xml:space="preserve">NS-1, NS-2, ES-2</t>
  </si>
  <si>
    <t xml:space="preserve">4.5</t>
  </si>
  <si>
    <t xml:space="preserve">Implement and Manage a Firewall on End-User Devices</t>
  </si>
  <si>
    <t xml:space="preserve">Intune Endpoint security &gt; Firewall (Windows), macOS firewall; Firewall rules; MDE network protection</t>
  </si>
  <si>
    <t xml:space="preserve">Deploy Intune Firewall policy: all profiles on, default inbound block, outbound allow, block local rule merging for public profile. Enable macOS application firewall + stealth mode. Restrict inbound rules to required management ports only.</t>
  </si>
  <si>
    <t xml:space="preserve">Intune firewall policy &amp; device status report.</t>
  </si>
  <si>
    <t xml:space="preserve">ES-2, NS-1</t>
  </si>
  <si>
    <t xml:space="preserve">4.6</t>
  </si>
  <si>
    <t xml:space="preserve">Securely Manage Enterprise Assets and Software</t>
  </si>
  <si>
    <t xml:space="preserve">Intune (config-as-code via Graph); Azure Bastion; Azure Policy; Windows LAPS; Infrastructure as Code (Bicep/Terraform) in Azure DevOps/GitHub; Privileged Access Workstations</t>
  </si>
  <si>
    <t xml:space="preserve">Manage endpoints via Intune (version-controlled configuration, e.g. exported with IntuneManagement/Graph). Manage Azure via IaC pipelines with approvals; use secure protocols only (SSH, HTTPS, RDP via Azure Bastion). Disable insecure management protocols (Telnet, HTTP). Use Windows LAPS for local admin passwords.</t>
  </si>
  <si>
    <t xml:space="preserve">IaC repository with PR approvals; Bastion configuration; LAPS policy.</t>
  </si>
  <si>
    <t xml:space="preserve">Intune; Bastion consumption.</t>
  </si>
  <si>
    <t xml:space="preserve">PV-1, PA-6, NS-1</t>
  </si>
  <si>
    <t xml:space="preserve">4.7</t>
  </si>
  <si>
    <t xml:space="preserve">Manage Default Accounts on Enterprise Assets and Software</t>
  </si>
  <si>
    <t xml:space="preserve">Users</t>
  </si>
  <si>
    <t xml:space="preserve">Windows LAPS (Intune Account protection policy); Intune 'Accounts: Rename/disable Administrator and Guest'; Azure VM admin naming policies; Entra 'break-glass' process</t>
  </si>
  <si>
    <t xml:space="preserve">Disable the built-in Guest account and rename/disable built-in Administrator via Intune. Use Windows LAPS (Intune) to rotate unique local admin passwords and back up to Entra ID. Change all vendor default credentials on appliances and apps. Azure: prevent default admin names (e.g. 'admin', 'administrator') via policy.</t>
  </si>
  <si>
    <t xml:space="preserve">Intune account protection &amp; LAPS policy; LAPS password rotation evidence.</t>
  </si>
  <si>
    <t xml:space="preserve">Intune; Windows LAPS built-in.</t>
  </si>
  <si>
    <t xml:space="preserve">IM-3, PA-1</t>
  </si>
  <si>
    <t xml:space="preserve">4.8</t>
  </si>
  <si>
    <t xml:space="preserve">Uninstall or Disable Unnecessary Services on Enterprise Assets and Software</t>
  </si>
  <si>
    <t xml:space="preserve">Intune Settings catalog (System Services); Intune security baselines; Azure Machine Configuration; Defender Vulnerability Management baselines</t>
  </si>
  <si>
    <t xml:space="preserve">Disable unneeded Windows services (e.g. Print Spooler on servers/DCs, Xbox services, Remote Registry, SSDP) via Intune Settings catalog or GPO. Remove optional features (SMBv1, PowerShell v2, Telnet client). Measure with DVM security baseline assessment and Defender for Cloud OS configuration recommendations.</t>
  </si>
  <si>
    <t xml:space="preserve">Intune service-config profile; DVM baseline report.</t>
  </si>
  <si>
    <t xml:space="preserve">Intune; DVM add-on.</t>
  </si>
  <si>
    <t xml:space="preserve">PV-1, ES-2</t>
  </si>
  <si>
    <t xml:space="preserve">4.9</t>
  </si>
  <si>
    <t xml:space="preserve">Configure Trusted DNS Servers on Enterprise Assets</t>
  </si>
  <si>
    <t xml:space="preserve">Intune (DNS settings / DoH via Settings catalog); Azure DNS / Azure DNS Private Resolver; Azure Firewall DNS proxy; Microsoft Entra Internet Access</t>
  </si>
  <si>
    <t xml:space="preserve">Configure endpoints to use enterprise-controlled DNS (on-prem AD DNS, Azure DNS Private Resolver, or a protective DNS service) and enforce DoH templates via Intune. In Azure, point VNets to Azure Firewall DNS proxy / Private Resolver. Block outbound DNS (UDP/TCP 53, DoH endpoints) to anything else at the firewall.</t>
  </si>
  <si>
    <t xml:space="preserve">Intune DNS/DoH profile; VNet DNS settings; firewall rule blocking external DNS.</t>
  </si>
  <si>
    <t xml:space="preserve">Azure Firewall/Private Resolver consumption; Entra Internet Access licence.</t>
  </si>
  <si>
    <t xml:space="preserve">NS-10</t>
  </si>
  <si>
    <t xml:space="preserve">4.10</t>
  </si>
  <si>
    <t xml:space="preserve">Enforce Automatic Device Lockout on Portable End-User Devices</t>
  </si>
  <si>
    <t xml:space="preserve">Intune device restrictions / compliance (max failed sign-ins before wipe); Windows 'Interactive logon: Machine account lockout threshold' with BitLocker; iOS/Android passcode policies</t>
  </si>
  <si>
    <t xml:space="preserve">Set maximum failed unlock attempts before wipe (≤10 for phones/tablets, ≤20 for laptops per CIS) using Intune iOS/Android device restrictions and Windows 'Machine account lockout threshold' (requires BitLocker). Enforce through compliance policies.</t>
  </si>
  <si>
    <t xml:space="preserve">Intune device restriction profiles.</t>
  </si>
  <si>
    <t xml:space="preserve">ES-2</t>
  </si>
  <si>
    <t xml:space="preserve">4.11</t>
  </si>
  <si>
    <t xml:space="preserve">Enforce Remote Wipe Capability on Portable End-User Devices</t>
  </si>
  <si>
    <t xml:space="preserve">Intune remote actions (Wipe, Retire, Selective wipe of app data via App Protection Policies)</t>
  </si>
  <si>
    <t xml:space="preserve">Enrol all portable devices in Intune (or use MAM App Protection Policies for BYOD) so Wipe / Retire / selective wipe can be issued when a device is lost or an employee leaves. Document the lost-device procedure and link it to incident reporting (17.3).</t>
  </si>
  <si>
    <t xml:space="preserve">Intune enrolment coverage; remote wipe action log; lost-device procedure.</t>
  </si>
  <si>
    <t xml:space="preserve">ES-3, AM-1</t>
  </si>
  <si>
    <t xml:space="preserve">4.12</t>
  </si>
  <si>
    <t xml:space="preserve">Separate Enterprise Workspaces on Mobile End-User Devices</t>
  </si>
  <si>
    <t xml:space="preserve">Intune Android Enterprise Work Profile; iOS User Enrollment / managed apps; Intune App Protection Policies (MAM); Windows MAM for Edge</t>
  </si>
  <si>
    <t xml:space="preserve">Use Android Enterprise personally-owned work profile and iOS/iPadOS account-driven User Enrollment for BYOD. Apply App Protection Policies to restrict copy/paste and save-as between managed and unmanaged apps, require PIN, encrypt app data. Require approved client apps / app protection via Conditional Access.</t>
  </si>
  <si>
    <t xml:space="preserve">Enrolment profiles; App Protection Policy settings; Conditional Access 'require app protection policy'.</t>
  </si>
  <si>
    <t xml:space="preserve">Intune; Entra ID P1.</t>
  </si>
  <si>
    <t xml:space="preserve">ES-3, DP-2</t>
  </si>
  <si>
    <t xml:space="preserve">5.1</t>
  </si>
  <si>
    <t xml:space="preserve">Establish and Maintain an Inventory of Accounts</t>
  </si>
  <si>
    <t xml:space="preserve">Microsoft Entra ID (users, guests, workload identities); Active Directory; Defender for Identity; Entra ID Governance (lifecycle workflows); Graph API exports</t>
  </si>
  <si>
    <t xml:space="preserve">Treat Entra ID (synced from AD/HR) as the account inventory: name, UPN, department, manager, start/end date via HR-driven provisioning (Workday/SuccessFactors) or Entra Connect. Export users, guests and admins quarterly via Graph and validate that all active accounts are authorized. Include local and application accounts not in Entra.</t>
  </si>
  <si>
    <t xml:space="preserve">Quarterly account inventory export &amp; validation sign-off.</t>
  </si>
  <si>
    <t xml:space="preserve">Entra ID Free/P1; HR provisioning &amp; lifecycle workflows need Entra ID Governance.</t>
  </si>
  <si>
    <t xml:space="preserve">IM-1, PA-1</t>
  </si>
  <si>
    <t xml:space="preserve">5.2</t>
  </si>
  <si>
    <t xml:space="preserve">Use Unique Passwords</t>
  </si>
  <si>
    <t xml:space="preserve">Entra Password Protection (global + custom banned lists, on-prem agent); Windows Hello for Business / passkeys (passwordless); Windows LAPS; Entra ID MFA</t>
  </si>
  <si>
    <t xml:space="preserve">Enable Entra Password Protection for cloud and on-prem AD (deploy DC agent) with a custom banned-password list. Prefer passwordless (Windows Hello for Business, FIDO2/passkeys via Authentication Methods policy). Where passwords remain, require 14+ characters (or 8+ with MFA) per CIS. Use LAPS for local admin uniqueness.</t>
  </si>
  <si>
    <t xml:space="preserve">Password Protection config; Authentication methods policy; registration report.</t>
  </si>
  <si>
    <t xml:space="preserve">Password Protection for on-prem AD requires Entra ID P1.</t>
  </si>
  <si>
    <t xml:space="preserve">IM-6, IM-8</t>
  </si>
  <si>
    <t xml:space="preserve">5.3</t>
  </si>
  <si>
    <t xml:space="preserve">Disable Dormant Accounts</t>
  </si>
  <si>
    <t xml:space="preserve">Entra ID Governance access reviews (inactive users); signInActivity via Graph; Entra lifecycle workflows; Defender for Identity (stale accounts); Entra guest inactive reviews</t>
  </si>
  <si>
    <t xml:space="preserve">Configure access reviews for inactive users (no sign-in in 45 days) with auto-disable, including guests. Use a scheduled Graph/Logic App/Azure Automation runbook on signInActivity to disable accounts dormant ≥45 days. Defender for Identity/Secure Score 'Remove dormant accounts from sensitive groups' covers AD.</t>
  </si>
  <si>
    <t xml:space="preserve">Access review history; automation runbook and logs; disabled-account report.</t>
  </si>
  <si>
    <t xml:space="preserve">Inactive-user access reviews need Entra ID P2 / Governance.</t>
  </si>
  <si>
    <t xml:space="preserve">IM-1, PA-4</t>
  </si>
  <si>
    <t xml:space="preserve">5.4</t>
  </si>
  <si>
    <t xml:space="preserve">Restrict Administrator Privileges to Dedicated Administrator Accounts</t>
  </si>
  <si>
    <t xml:space="preserve">Entra separate cloud-only admin accounts; Privileged Identity Management; Intune Endpoint Privilege Management; Windows LAPS; Conditional Access for admins</t>
  </si>
  <si>
    <t xml:space="preserve">Create dedicated cloud-only admin accounts (not synced, no mailbox) for all privileged roles; daily-driver accounts hold no admin rights. Make Entra and Azure roles eligible-only through PIM. Remove users from local Administrators using Intune Account protection (Local user group membership) and use Endpoint Privilege Management for elevation needs.</t>
  </si>
  <si>
    <t xml:space="preserve">Admin account list; PIM eligible assignments; Intune local group policy.</t>
  </si>
  <si>
    <t xml:space="preserve">PIM needs Entra ID P2; EPM needs Intune Suite.</t>
  </si>
  <si>
    <t xml:space="preserve">PA-1, PA-2</t>
  </si>
  <si>
    <t xml:space="preserve">5.5</t>
  </si>
  <si>
    <t xml:space="preserve">Establish and Maintain an Inventory of Service Accounts</t>
  </si>
  <si>
    <t xml:space="preserve">Entra workload identities (service principals, managed identities); Microsoft Entra Workload ID; Defender for Identity (service account discovery); AD gMSA; Defender for Cloud Apps app governance</t>
  </si>
  <si>
    <t xml:space="preserve">Inventory all service principals/app registrations, managed identities and AD service accounts with owner, purpose and review date. Prefer managed identities and gMSA over passwords/secrets. Use Defender for Identity service account page and Workload ID access reviews; review quarterly.</t>
  </si>
  <si>
    <t xml:space="preserve">Service account register; app registration export with owners; quarterly review evidence.</t>
  </si>
  <si>
    <t xml:space="preserve">Workload ID Premium for workload access reviews / CA; MDI in E5 Security.</t>
  </si>
  <si>
    <t xml:space="preserve">5.6</t>
  </si>
  <si>
    <t xml:space="preserve">Centralize Account Management</t>
  </si>
  <si>
    <t xml:space="preserve">Microsoft Entra ID (single identity plane); Entra Connect / Cloud Sync; SCIM provisioning to SaaS; Entra ID Governance</t>
  </si>
  <si>
    <t xml:space="preserve">Make Entra ID the central directory: sync AD via Entra Connect / Cloud Sync, federate SaaS apps via SAML/OIDC with SCIM provisioning, and avoid local app accounts. Use HR-driven provisioning and lifecycle workflows for joiner/mover/leaver.</t>
  </si>
  <si>
    <t xml:space="preserve">Enterprise apps with SSO + provisioning; identity architecture diagram.</t>
  </si>
  <si>
    <t xml:space="preserve">Entra ID P1; Governance for lifecycle workflows.</t>
  </si>
  <si>
    <t xml:space="preserve">IM-1</t>
  </si>
  <si>
    <t xml:space="preserve">6.1</t>
  </si>
  <si>
    <t xml:space="preserve">Establish an Access Granting Process</t>
  </si>
  <si>
    <t xml:space="preserve">Entra ID Governance Entitlement Management (access packages with approval); ServiceNow/ITSM integration; Lifecycle workflows</t>
  </si>
  <si>
    <t xml:space="preserve">Document the access-granting process and implement it through Entra access packages: requestable bundles of groups/apps/SharePoint sites with manager + resource-owner approval, expiry and justification. Automate joiner access via HR-driven provisioning and lifecycle workflows.</t>
  </si>
  <si>
    <t xml:space="preserve">Access-granting procedure; access package catalogue; approval history.</t>
  </si>
  <si>
    <t xml:space="preserve">Entitlement Management needs Entra ID P2 / Governance.</t>
  </si>
  <si>
    <t xml:space="preserve">IM-1, PA-7</t>
  </si>
  <si>
    <t xml:space="preserve">6.2</t>
  </si>
  <si>
    <t xml:space="preserve">Establish an Access Revoking Process</t>
  </si>
  <si>
    <t xml:space="preserve">Entra lifecycle workflows (leaver tasks); HR inbound provisioning; access package expiry; Revoke sessions (Graph revokeSignInSessions); Intune retire/wipe</t>
  </si>
  <si>
    <t xml:space="preserve">Trigger leaver workflow from HR end date: disable account, remove group/licence assignments, revoke refresh tokens, remove from access packages, retire devices, convert mailbox. Mover workflows remove previous role access. Measure time-to-revoke against your SLA.</t>
  </si>
  <si>
    <t xml:space="preserve">Leaver workflow history; audit log showing disable + revoke within SLA.</t>
  </si>
  <si>
    <t xml:space="preserve">Lifecycle workflows need Entra ID Governance.</t>
  </si>
  <si>
    <t xml:space="preserve">6.3</t>
  </si>
  <si>
    <t xml:space="preserve">Require MFA for Externally-Exposed Applications</t>
  </si>
  <si>
    <t xml:space="preserve">Entra Conditional Access (require MFA / authentication strength); Entra Application Proxy / Private Access; SSO for SaaS</t>
  </si>
  <si>
    <t xml:space="preserve">Conditional Access policy: All users, All resources, require MFA (phishing-resistant authentication strength preferred), excluding only break-glass accounts. Block legacy authentication. Publish on-prem web apps via Entra Application Proxy/Private Access so they inherit CA; federate third-party SaaS through Entra for MFA.</t>
  </si>
  <si>
    <t xml:space="preserve">CA policy export; sign-in logs showing MFA; legacy auth blocked report.</t>
  </si>
  <si>
    <t xml:space="preserve">Entra ID P1 (Security Defaults as free alternative).</t>
  </si>
  <si>
    <t xml:space="preserve">IM-6, IM-7</t>
  </si>
  <si>
    <t xml:space="preserve">6.4</t>
  </si>
  <si>
    <t xml:space="preserve">Require MFA for Remote Network Access</t>
  </si>
  <si>
    <t xml:space="preserve">Microsoft Entra Private Access (Global Secure Access); Azure VPN Gateway with Entra ID authentication + CA; NPS extension for Entra MFA (RADIUS VPNs); Azure Bastion with CA</t>
  </si>
  <si>
    <t xml:space="preserve">Replace legacy VPN with Entra Private Access, or configure Azure VPN Gateway P2S with Entra ID authentication. For third-party VPNs use SAML to Entra or the NPS extension for MFA. Apply Conditional Access requiring MFA + compliant device for the VPN/Private Access apps.</t>
  </si>
  <si>
    <t xml:space="preserve">VPN/GSA app CA policy; sign-in logs for VPN app.</t>
  </si>
  <si>
    <t xml:space="preserve">Entra ID P1; Entra Private Access licence (Suite).</t>
  </si>
  <si>
    <t xml:space="preserve">IM-7, NS-1</t>
  </si>
  <si>
    <t xml:space="preserve">6.5</t>
  </si>
  <si>
    <t xml:space="preserve">Require MFA for Administrative Access</t>
  </si>
  <si>
    <t xml:space="preserve">Conditional Access (directory roles, Azure management) with phishing-resistant authentication strength; PIM activation MFA; Azure mandatory MFA; Defender for Identity</t>
  </si>
  <si>
    <t xml:space="preserve">CA policy targeting all privileged directory roles requiring phishing-resistant MFA (FIDO2, WHfB, certificate). CA policy for 'Windows Azure Service Management API'/Azure management requiring MFA for all users. Require MFA on PIM activation. Third-party admin consoles federated through Entra.</t>
  </si>
  <si>
    <t xml:space="preserve">CA policies; authentication strength config; PIM role settings.</t>
  </si>
  <si>
    <t xml:space="preserve">Entra ID P1 (P2 for PIM).</t>
  </si>
  <si>
    <t xml:space="preserve">PA-1, IM-6</t>
  </si>
  <si>
    <t xml:space="preserve">6.6</t>
  </si>
  <si>
    <t xml:space="preserve">Establish and Maintain an Inventory of Authentication and Authorization Systems</t>
  </si>
  <si>
    <t xml:space="preserve">Entra ID enterprise applications / app registrations; Defender for Cloud Apps (discovered apps &amp; OAuth apps); AD/ADFS; Defender for Identity</t>
  </si>
  <si>
    <t xml:space="preserve">Document every authentication/authorization system: Entra ID, AD DS, ADFS, PKI, RADIUS/NPS, app-local auth, SaaS IdPs. Use Entra enterprise app list and Defender for Cloud Apps app governance to find apps using non-Entra auth and migrate them. Review annually.</t>
  </si>
  <si>
    <t xml:space="preserve">Auth systems inventory; enterprise apps export.</t>
  </si>
  <si>
    <t xml:space="preserve">Defender for Cloud Apps / app governance in E5.</t>
  </si>
  <si>
    <t xml:space="preserve">IM-1, IM-2</t>
  </si>
  <si>
    <t xml:space="preserve">6.7</t>
  </si>
  <si>
    <t xml:space="preserve">Centralize Access Control</t>
  </si>
  <si>
    <t xml:space="preserve">Entra ID SSO (SAML/OIDC/password-based) for SaaS &amp; on-prem apps; Entra Application Proxy / Private Access; ADFS→Entra migration; Conditional Access</t>
  </si>
  <si>
    <t xml:space="preserve">Federate all SaaS and custom apps to Entra ID and apply Conditional Access centrally. Migrate ADFS relying parties to Entra. Publish on-prem apps via Application Proxy or Private Access. Use Azure RBAC with Entra groups for cloud resources.</t>
  </si>
  <si>
    <t xml:space="preserve">Enterprise apps with SSO configured; % apps federated.</t>
  </si>
  <si>
    <t xml:space="preserve">Entra ID P1.</t>
  </si>
  <si>
    <t xml:space="preserve">IM-1, IM-4</t>
  </si>
  <si>
    <t xml:space="preserve">6.8</t>
  </si>
  <si>
    <t xml:space="preserve">Define and Maintain Role-Based Access Control</t>
  </si>
  <si>
    <t xml:space="preserve">Entra ID roles &amp; custom roles; Azure RBAC &amp; custom roles; PIM for groups; Entra Administrative Units; Exchange/Intune/Defender RBAC (unified RBAC); access reviews</t>
  </si>
  <si>
    <t xml:space="preserve">Define job roles and the minimal rights each needs; implement as role-assignable groups / access packages mapped to Entra, Azure, Intune and Defender XDR unified RBAC roles. Scope with Administrative Units and management groups. Run access reviews on role assignments at least annually and on PIM groups.</t>
  </si>
  <si>
    <t xml:space="preserve">RBAC role matrix; role assignment export; access review results.</t>
  </si>
  <si>
    <t xml:space="preserve">Entra ID P2 / Governance for PIM &amp; reviews.</t>
  </si>
  <si>
    <t xml:space="preserve">PA-7, PA-3</t>
  </si>
  <si>
    <t xml:space="preserve">7.1</t>
  </si>
  <si>
    <t xml:space="preserve">Establish and Maintain a Vulnerability Management Process</t>
  </si>
  <si>
    <t xml:space="preserve">Defender Vulnerability Management; Defender for Cloud; Microsoft Security Exposure Management</t>
  </si>
  <si>
    <t xml:space="preserve">Document the vulnerability management process: scope, scanning frequency, risk rating (CVSS/EPSS/exposure score), SLAs per severity, exceptions. Implement with DVM (endpoints/servers), Defender for Cloud (cloud workloads, containers, IaC) and Exposure Management for prioritisation. Review annually.</t>
  </si>
  <si>
    <t xml:space="preserve">Approved VM process; SLA definitions; exception register.</t>
  </si>
  <si>
    <t xml:space="preserve">DVM add-on / Defender for Servers P2.</t>
  </si>
  <si>
    <t xml:space="preserve">PV-5, GS-1</t>
  </si>
  <si>
    <t xml:space="preserve">7.2</t>
  </si>
  <si>
    <t xml:space="preserve">Establish and Maintain a Remediation Process</t>
  </si>
  <si>
    <t xml:space="preserve">DVM remediation requests (Intune integration); Defender for Cloud governance rules (owners &amp; due dates); Intune; Azure Update Manager</t>
  </si>
  <si>
    <t xml:space="preserve">Define risk-based remediation timelines and owners. Use DVM 'Request remediation' integrated with Intune tasks and Defender for Cloud governance rules to assign owners and due dates automatically; track overdue items monthly.</t>
  </si>
  <si>
    <t xml:space="preserve">Remediation process; governance rule configuration; overdue remediation report.</t>
  </si>
  <si>
    <t xml:space="preserve">DVM / Defender CSPM for governance rules.</t>
  </si>
  <si>
    <t xml:space="preserve">PV-6</t>
  </si>
  <si>
    <t xml:space="preserve">7.3</t>
  </si>
  <si>
    <t xml:space="preserve">Perform Automated Operating System Patch Management</t>
  </si>
  <si>
    <t xml:space="preserve">Windows Autopatch / Windows Update for Business rings (Intune); Hotpatch; Azure Update Manager (Azure + Arc servers); Intune iOS/macOS/Android update policies</t>
  </si>
  <si>
    <t xml:space="preserve">Use Windows Autopatch or Intune update rings with deadlines (quality updates within 7 days, feature updates on schedule). Enable hotpatch where supported. Patch Azure and Arc-enabled servers with Azure Update Manager maintenance configurations (at least monthly). Enforce macOS/iOS updates via Intune DDM update policies.</t>
  </si>
  <si>
    <t xml:space="preserve">Autopatch/update ring reports; Update Manager compliance; OS version compliance policy.</t>
  </si>
  <si>
    <t xml:space="preserve">Autopatch in E3/E5; Update Manager free for Azure VMs, charged for Arc (unless Defender for Servers P2).</t>
  </si>
  <si>
    <t xml:space="preserve">PV-7</t>
  </si>
  <si>
    <t xml:space="preserve">7.4</t>
  </si>
  <si>
    <t xml:space="preserve">Perform Automated Application Patch Management</t>
  </si>
  <si>
    <t xml:space="preserve">M365 Apps update channels (Intune/Cloud Update); Edge update policies; Intune Enterprise App Management (Intune Suite); Windows Package Manager; DVM recommendations</t>
  </si>
  <si>
    <t xml:space="preserve">Configure M365 Apps on Monthly Enterprise/Current channel via Cloud Update, Edge auto-update via Intune. Use Intune Enterprise App Catalog (auto-update of third-party apps) or WinGet / third-party patching (e.g. Patch My PC) for other apps. Track residual risk in DVM.</t>
  </si>
  <si>
    <t xml:space="preserve">Update channel config; Enterprise App Management update reports; DVM weaknesses trend.</t>
  </si>
  <si>
    <t xml:space="preserve">Enterprise App Management needs Intune Suite/add-on.</t>
  </si>
  <si>
    <t xml:space="preserve">7.5</t>
  </si>
  <si>
    <t xml:space="preserve">Perform Automated Vulnerability Scans of Internal Enterprise Assets</t>
  </si>
  <si>
    <t xml:space="preserve">Defender Vulnerability Management (agent-based, continuous); Defender for Servers (MDE or agentless scanning); Defender for Containers; Defender for SQL vulnerability assessment; authenticated network device scans (DVM)</t>
  </si>
  <si>
    <t xml:space="preserve">Rely on continuous agent-based assessment via MDE on all endpoints/servers, plus agentless machine scanning in Defender for Cloud. Enable DVM authenticated scans for network devices and Windows assets without the agent. Enable SQL vulnerability assessment and container registry scanning. Results at least quarterly (continuous in practice).</t>
  </si>
  <si>
    <t xml:space="preserve">DVM exposure score; Defender for Cloud vulnerability recommendations; scan coverage.</t>
  </si>
  <si>
    <t xml:space="preserve">MDE P2/DVM; Defender for Servers P2, Containers, SQL plans.</t>
  </si>
  <si>
    <t xml:space="preserve">PV-5</t>
  </si>
  <si>
    <t xml:space="preserve">7.6</t>
  </si>
  <si>
    <t xml:space="preserve">Perform Automated Vulnerability Scans of Externally-Exposed Enterprise Assets</t>
  </si>
  <si>
    <t xml:space="preserve">Defender External Attack Surface Management (EASM); Defender for Cloud (internet-exposure insights); Exposure Management</t>
  </si>
  <si>
    <t xml:space="preserve">Discover external assets with Defender EASM (domains, IPs, hosts, certs) and review CVEs/misconfigurations on internet-facing services at least monthly. Use Defender CSPM attack paths for exposed VMs. Consider a SCAN-certified external scanner if a regulatory requirement (e.g. PCI ASV) applies.</t>
  </si>
  <si>
    <t xml:space="preserve">EASM inventory &amp; findings dashboard; monthly review records.</t>
  </si>
  <si>
    <t xml:space="preserve">Defender EASM consumption-based.</t>
  </si>
  <si>
    <t xml:space="preserve">PV-5, NS-1</t>
  </si>
  <si>
    <t xml:space="preserve">7.7</t>
  </si>
  <si>
    <t xml:space="preserve">Remediate Detected Vulnerabilities</t>
  </si>
  <si>
    <t xml:space="preserve">DVM remediation; Intune; Azure Update Manager; Defender for Cloud recommendations &amp; 'Fix' / Azure Policy remediation</t>
  </si>
  <si>
    <t xml:space="preserve">Remediate per process (7.2) using Intune/Update Manager deployments, Defender for Cloud quick-fix and Azure Policy remediation tasks. Validate closure through the next DVM assessment; report monthly against SLA.</t>
  </si>
  <si>
    <t xml:space="preserve">Monthly remediation SLA report; DVM trend.</t>
  </si>
  <si>
    <t xml:space="preserve">As 7.2/7.5.</t>
  </si>
  <si>
    <t xml:space="preserve">8.1</t>
  </si>
  <si>
    <t xml:space="preserve">Establish and Maintain an Audit Log Management Process</t>
  </si>
  <si>
    <t xml:space="preserve">Microsoft Sentinel; Log Analytics; Purview Audit; Azure Monitor diagnostic settings; Defender XDR</t>
  </si>
  <si>
    <t xml:space="preserve">Document what is logged (identity, endpoint, cloud control plane, data access, network), where it is stored, retention, review frequency and responsibilities. Map log sources to Sentinel data connectors. Review annually.</t>
  </si>
  <si>
    <t xml:space="preserve">Audit log policy; log source matrix.</t>
  </si>
  <si>
    <t xml:space="preserve">—</t>
  </si>
  <si>
    <t xml:space="preserve">LT-1, LT-6</t>
  </si>
  <si>
    <t xml:space="preserve">8.2</t>
  </si>
  <si>
    <t xml:space="preserve">Collect Audit Logs</t>
  </si>
  <si>
    <t xml:space="preserve">Purview unified audit log; Entra sign-in &amp; audit logs; Azure Activity Log; Defender XDR; Windows event logs via Azure Monitor Agent; Azure Policy 'Deploy diagnostic settings'</t>
  </si>
  <si>
    <t xml:space="preserve">Confirm Purview audit is on. Export Entra sign-in/audit logs and Azure Activity Logs to Log Analytics/Sentinel. Use Azure Policy initiatives to deploy diagnostic settings for all resource types. Enable Windows advanced audit policy via Intune and collect with AMA. Onboard MDE so endpoint telemetry is recorded.</t>
  </si>
  <si>
    <t xml:space="preserve">Diagnostic settings policy compliance; Sentinel data connector status.</t>
  </si>
  <si>
    <t xml:space="preserve">Entra log export needs P1; Sentinel/LA ingestion.</t>
  </si>
  <si>
    <t xml:space="preserve">LT-3, LT-4</t>
  </si>
  <si>
    <t xml:space="preserve">8.3</t>
  </si>
  <si>
    <t xml:space="preserve">Ensure Adequate Audit Log Storage</t>
  </si>
  <si>
    <t xml:space="preserve">Log Analytics workspaces (retention, long-term/archive tier, data lake); Sentinel data lake; Azure Storage (immutable)</t>
  </si>
  <si>
    <t xml:space="preserve">Size Log Analytics/Sentinel workspaces and set retention per policy; use auxiliary/basic logs or Sentinel data lake for high-volume sources. Configure daily cap alerts (not hard caps for security data). Archive to immutable Storage for long retention.</t>
  </si>
  <si>
    <t xml:space="preserve">Workspace retention settings; ingestion/capacity monitoring alerts.</t>
  </si>
  <si>
    <t xml:space="preserve">Ingestion and retention costs.</t>
  </si>
  <si>
    <t xml:space="preserve">LT-6</t>
  </si>
  <si>
    <t xml:space="preserve">8.4</t>
  </si>
  <si>
    <t xml:space="preserve">Standardize Time Synchronization</t>
  </si>
  <si>
    <t xml:space="preserve">Windows Time service (AD domain hierarchy); Intune Settings catalog NTP; Azure VMs host time sync / time.windows.com</t>
  </si>
  <si>
    <t xml:space="preserve">Configure the AD PDC emulator to sync to at least two reliable NTP sources; domain members sync via domain hierarchy. For Entra-joined devices set NTP servers through Intune (Settings catalog: Time Providers). Azure VMs use host time sync. Monitor time skew.</t>
  </si>
  <si>
    <t xml:space="preserve">PDC NTP configuration; Intune profile; w32tm status samples.</t>
  </si>
  <si>
    <t xml:space="preserve">LT-7</t>
  </si>
  <si>
    <t xml:space="preserve">8.5</t>
  </si>
  <si>
    <t xml:space="preserve">Collect Detailed Audit Logs</t>
  </si>
  <si>
    <t xml:space="preserve">Windows advanced audit policies (Intune Settings catalog / security baseline); MDE telemetry; Sysmon; Purview Audit Premium; Azure resource logs</t>
  </si>
  <si>
    <t xml:space="preserve">Enable advanced audit subcategories (logon, process creation, account management, policy change, object access for sensitive shares) per CIS/Microsoft baselines. MDE provides process, network, file and registry telemetry (30 days in Advanced Hunting, longer via streaming to Sentinel). Include event source, date, user, timestamp, source/destination addresses.</t>
  </si>
  <si>
    <t xml:space="preserve">Audit policy configuration; sample events in Sentinel.</t>
  </si>
  <si>
    <t xml:space="preserve">MDE P2; Audit Premium in E5.</t>
  </si>
  <si>
    <t xml:space="preserve">8.6</t>
  </si>
  <si>
    <t xml:space="preserve">Collect DNS Query Audit Logs</t>
  </si>
  <si>
    <t xml:space="preserve">Windows DNS Server analytical logs via AMA (Sentinel 'Windows DNS Events via AMA' connector); Azure DNS Private Resolver / Azure Firewall DNS proxy logs; MDE DnsEvents/DeviceNetworkEvents; Entra Internet Access logs</t>
  </si>
  <si>
    <t xml:space="preserve">Enable DNS analytic logging on Windows DNS servers and ingest with the Sentinel DNS AMA connector. Enable Azure Firewall DNS proxy logs / DNS security policy logs for VNets. Use Sentinel ASIM DNS parsers and threat-intel matching analytics.</t>
  </si>
  <si>
    <t xml:space="preserve">Sentinel DNS connector status; sample DNS query logs.</t>
  </si>
  <si>
    <t xml:space="preserve">Sentinel ingestion.</t>
  </si>
  <si>
    <t xml:space="preserve">LT-4, NS-10</t>
  </si>
  <si>
    <t xml:space="preserve">8.7</t>
  </si>
  <si>
    <t xml:space="preserve">Collect URL Request Audit Logs</t>
  </si>
  <si>
    <t xml:space="preserve">Defender for Endpoint network protection &amp; web content filtering (DeviceNetworkEvents); Defender for Cloud Apps; Entra Internet Access traffic logs; Azure Firewall application rule logs; Defender for Office 365 Safe Links click logs</t>
  </si>
  <si>
    <t xml:space="preserve">Enable MDE network protection (block mode) and web content filtering so URL requests are logged per device. Route Internet traffic through Entra Internet Access or Azure Firewall Premium for proxy-style URL logs. Ingest into Sentinel.</t>
  </si>
  <si>
    <t xml:space="preserve">Network protection policy; web activity reports; firewall application logs.</t>
  </si>
  <si>
    <t xml:space="preserve">MDE P2; Entra Internet Access; Azure Firewall Premium.</t>
  </si>
  <si>
    <t xml:space="preserve">LT-3, NS-8</t>
  </si>
  <si>
    <t xml:space="preserve">8.8</t>
  </si>
  <si>
    <t xml:space="preserve">Collect Command-Line Audit Logs</t>
  </si>
  <si>
    <t xml:space="preserve">Defender for Endpoint (process command lines); Intune: 'Include command line in process creation events' + PowerShell script block &amp; module logging; Azure Monitor Agent</t>
  </si>
  <si>
    <t xml:space="preserve">Enable process creation auditing with command line (Event 4688), PowerShell script block logging and module logging via Intune. MDE captures command lines in DeviceProcessEvents. Collect Linux auditd/bash history via AMA/MDE for Linux. Ingest to Sentinel.</t>
  </si>
  <si>
    <t xml:space="preserve">Intune profile; DeviceProcessEvents samples; PowerShell 4104 events.</t>
  </si>
  <si>
    <t xml:space="preserve">MDE P2.</t>
  </si>
  <si>
    <t xml:space="preserve">LT-3</t>
  </si>
  <si>
    <t xml:space="preserve">8.9</t>
  </si>
  <si>
    <t xml:space="preserve">Centralize Audit Logs</t>
  </si>
  <si>
    <t xml:space="preserve">Microsoft Sentinel (in Defender portal); Log Analytics; Defender XDR streaming API; Azure Monitor Agent; syslog/CEF via AMA</t>
  </si>
  <si>
    <t xml:space="preserve">Deploy Sentinel as the central SIEM; connect Microsoft sources (Defender XDR, Entra, Azure Activity, Office 365, Purview) and third-party sources (firewalls, VPN, Linux) via AMA/CEF/Codeless connectors. Use one or few workspaces per region/regulation.</t>
  </si>
  <si>
    <t xml:space="preserve">Sentinel data connector list; source coverage matrix vs 8.1.</t>
  </si>
  <si>
    <t xml:space="preserve">Sentinel consumption; some M365 data free in Sentinel.</t>
  </si>
  <si>
    <t xml:space="preserve">LT-5</t>
  </si>
  <si>
    <t xml:space="preserve">8.10</t>
  </si>
  <si>
    <t xml:space="preserve">Retain Audit Logs</t>
  </si>
  <si>
    <t xml:space="preserve">Log Analytics retention (interactive + long-term); Sentinel data lake; Purview Audit retention policies (Audit Premium 1-10 years); immutable Blob storage</t>
  </si>
  <si>
    <t xml:space="preserve">Retain audit logs at least 90 days (CIS minimum); set Purview audit retention policies (180 days default for Audit Standard, 1 year+ for Premium). Configure workspace total retention to meet legal/regulatory needs (often 1-7 years).</t>
  </si>
  <si>
    <t xml:space="preserve">Workspace retention config; Purview audit retention policies.</t>
  </si>
  <si>
    <t xml:space="preserve">Audit Premium (E5) for 1yr+/10yr retention add-on.</t>
  </si>
  <si>
    <t xml:space="preserve">8.11</t>
  </si>
  <si>
    <t xml:space="preserve">Conduct Audit Log Reviews</t>
  </si>
  <si>
    <t xml:space="preserve">Sentinel analytics rules, workbooks, UEBA, hunting queries; Defender XDR incidents; Security Copilot</t>
  </si>
  <si>
    <t xml:space="preserve">Enable Sentinel analytics (Microsoft content hub solutions, Fusion/multistage attack detection), UEBA and anomaly rules. Weekly (or more frequent) review of workbooks and hunting queries; document reviews and findings.</t>
  </si>
  <si>
    <t xml:space="preserve">Analytics rule list; weekly review log / hunting notebook.</t>
  </si>
  <si>
    <t xml:space="preserve">Sentinel; Security Copilot optional (SCU).</t>
  </si>
  <si>
    <t xml:space="preserve">LT-1, LT-2</t>
  </si>
  <si>
    <t xml:space="preserve">8.12</t>
  </si>
  <si>
    <t xml:space="preserve">Collect Service Provider Logs</t>
  </si>
  <si>
    <t xml:space="preserve">Sentinel connectors for SaaS (Defender for Cloud Apps app connectors, Okta, AWS CloudTrail, GCP, Salesforce, ServiceNow etc.); Codeless Connector Framework; Azure Lighthouse logs</t>
  </si>
  <si>
    <t xml:space="preserve">Where supported, collect logs from service providers (other clouds, SaaS, MSP activity via Lighthouse/GDAP audit). Use Defender for Cloud Apps API connectors and Sentinel connectors. Include log access in contracts (15.4) where not technically available.</t>
  </si>
  <si>
    <t xml:space="preserve">Connector list; SaaS log samples; contract clauses.</t>
  </si>
  <si>
    <t xml:space="preserve">Sentinel; Defender for Cloud Apps (E5).</t>
  </si>
  <si>
    <t xml:space="preserve">LT-1, LT-4</t>
  </si>
  <si>
    <t xml:space="preserve">9.1</t>
  </si>
  <si>
    <t xml:space="preserve">Ensure Use of Only Fully Supported Browsers and Email Clients</t>
  </si>
  <si>
    <t xml:space="preserve">Microsoft Edge (Intune policies, auto-update); Outlook (M365 Apps current channel); Intune compliance/ASR; App Control to block unsupported browsers; Conditional Access client app restrictions</t>
  </si>
  <si>
    <t xml:space="preserve">Standardise on Edge (and/or a managed Chrome) with auto-update via Intune; remove/block IE mode where not needed. Keep Outlook on supported M365 Apps channels; block legacy clients (Basic auth already retired) and use CA 'Require approved client app' on mobile. Use DVM to find out-of-support browser versions.</t>
  </si>
  <si>
    <t xml:space="preserve">Intune browser policy; DVM browser version report; CA policy.</t>
  </si>
  <si>
    <t xml:space="preserve">ES-2, PV-6</t>
  </si>
  <si>
    <t xml:space="preserve">9.2</t>
  </si>
  <si>
    <t xml:space="preserve">Use DNS Filtering Services</t>
  </si>
  <si>
    <t xml:space="preserve">Defender for Endpoint network protection (blocks malicious domains incl. DNS-based); Microsoft Entra Internet Access (web/DNS filtering); Azure Firewall threat intel (DNS proxy); Azure DNS security policy (DNS threat intelligence)</t>
  </si>
  <si>
    <t xml:space="preserve">Enable MDE network protection in block mode on all devices (works on/off network). For servers/VNets, use Azure DNS security policies / Azure Firewall threat-intel deny with DNS proxy. Optionally use Entra Internet Access or a protective DNS service for resolution-level blocking.</t>
  </si>
  <si>
    <t xml:space="preserve">Network protection policy; DNS security policy; block events.</t>
  </si>
  <si>
    <t xml:space="preserve">MDE P1/P2; Entra Internet Access; Azure Firewall/DNS policy consumption.</t>
  </si>
  <si>
    <t xml:space="preserve">NS-10, ES-1</t>
  </si>
  <si>
    <t xml:space="preserve">9.3</t>
  </si>
  <si>
    <t xml:space="preserve">Maintain and Enforce Network-Based URL Filters</t>
  </si>
  <si>
    <t xml:space="preserve">MDE web content filtering &amp; custom URL indicators; Entra Internet Access web content filtering; Azure Firewall Premium URL/web categories; Defender for Cloud Apps unsanctioned app blocking</t>
  </si>
  <si>
    <t xml:space="preserve">Define categories to block (malicious, adult, gambling, uncategorized, etc.) in MDE web content filtering and/or Entra Internet Access. Add custom URL/domain indicators. For Azure egress use Azure Firewall Premium web categories and TLS inspection. Block unsanctioned SaaS via MDCA + MDE.</t>
  </si>
  <si>
    <t xml:space="preserve">WCF policy; Entra IA filtering profile; firewall policy.</t>
  </si>
  <si>
    <t xml:space="preserve">MDE P2 (WCF); Entra Internet Access; Azure Firewall Premium.</t>
  </si>
  <si>
    <t xml:space="preserve">NS-8</t>
  </si>
  <si>
    <t xml:space="preserve">9.4</t>
  </si>
  <si>
    <t xml:space="preserve">Restrict Unnecessary or Unauthorized Browser and Email Client Extensions</t>
  </si>
  <si>
    <t xml:space="preserve">Intune Edge/Chrome policies (ExtensionInstallBlocklist / Allowlist / ExtensionSettings); Outlook add-in management (M365 admin center Integrated Apps, user consent to add-ins off); DVM browser extension inventory</t>
  </si>
  <si>
    <t xml:space="preserve">Block all browser extensions by default ('*' in blocklist) and allow approved ones via Intune. Disable user-installed Outlook add-ins (Exchange user role assignment policy) and deploy approved add-ins centrally. Review DVM browser extension inventory for risky permissions.</t>
  </si>
  <si>
    <t xml:space="preserve">Intune browser extension policies; Exchange role policy; extension inventory.</t>
  </si>
  <si>
    <t xml:space="preserve">Intune; DVM add-on for extensions inventory.</t>
  </si>
  <si>
    <t xml:space="preserve">ES-2, AM-5</t>
  </si>
  <si>
    <t xml:space="preserve">9.5</t>
  </si>
  <si>
    <t xml:space="preserve">Implement DMARC</t>
  </si>
  <si>
    <t xml:space="preserve">Exchange Online SPF, DKIM signing, DMARC (DNS); Defender for Office 365 anti-spoofing; DMARC reporting</t>
  </si>
  <si>
    <t xml:space="preserve">Publish SPF (-all) for all sending domains including non-sending/parked domains (v=spf1 -all). Enable DKIM signing in Defender portal for every accepted domain. Publish DMARC starting p=none with rua reporting, move to quarantine then p=reject. Set inbound honour-DMARC policy in anti-phishing.</t>
  </si>
  <si>
    <t xml:space="preserve">DNS records; DKIM status; DMARC aggregate reports.</t>
  </si>
  <si>
    <t xml:space="preserve">EOP (included).</t>
  </si>
  <si>
    <t xml:space="preserve">9.6</t>
  </si>
  <si>
    <t xml:space="preserve">Block Unnecessary File Types</t>
  </si>
  <si>
    <t xml:space="preserve">Exchange Online Protection anti-malware common attachment filter; Defender for Office 365 Safe Attachments; Exchange mail flow rules; SharePoint blocked file types; MDE ASR rules</t>
  </si>
  <si>
    <t xml:space="preserve">Enable the common attachment filter with an extended blocked-extension list (e.g. .exe, .js, .vbs, .iso, .img, .lnk, .hta, .one where not needed). Use mail flow rules for archives containing executables. Block file types in SharePoint/OneDrive sync where appropriate. ASR rule 'Block executable content from email client and webmail'.</t>
  </si>
  <si>
    <t xml:space="preserve">Anti-malware policy file type list; mail flow rules; ASR report.</t>
  </si>
  <si>
    <t xml:space="preserve">EOP; Defender for Office 365 P1/P2.</t>
  </si>
  <si>
    <t xml:space="preserve">NS-8, ES-1</t>
  </si>
  <si>
    <t xml:space="preserve">9.7</t>
  </si>
  <si>
    <t xml:space="preserve">Deploy and Maintain Email Server Anti-Malware Protections</t>
  </si>
  <si>
    <t xml:space="preserve">Exchange Online Protection; Defender for Office 365 (Safe Attachments, Safe Links, Zero-hour auto purge, anti-phishing, preset Strict/Standard policies); Exchange Server AMSI integration</t>
  </si>
  <si>
    <t xml:space="preserve">Apply Defender for Office 365 Standard/Strict preset security policies to all users. Enable Safe Attachments (Dynamic Delivery/Block) for email, SharePoint, OneDrive and Teams; Safe Links with click-time protection; ZAP. On-prem Exchange: enable AMSI integration and MDE on Exchange servers.</t>
  </si>
  <si>
    <t xml:space="preserve">Preset policy assignments; configuration analyzer results; threat protection status report.</t>
  </si>
  <si>
    <t xml:space="preserve">Defender for Office 365 P1 (P2 in E5).</t>
  </si>
  <si>
    <t xml:space="preserve">ES-1, NS-8</t>
  </si>
  <si>
    <t xml:space="preserve">10.1</t>
  </si>
  <si>
    <t xml:space="preserve">Deploy and Maintain Anti-Malware Software</t>
  </si>
  <si>
    <t xml:space="preserve">Microsoft Defender Antivirus + Defender for Endpoint (Windows, macOS, Linux, iOS, Android); Defender for Servers; Intune Antivirus policy</t>
  </si>
  <si>
    <t xml:space="preserve">Deploy Defender Antivirus in active mode with MDE across all OS platforms via Intune / Defender for Servers auto-provisioning. Enable real-time, cloud-delivered protection (High), block at first sight, PUA blocking and tamper protection. Monitor health in Defender portal.</t>
  </si>
  <si>
    <t xml:space="preserve">Intune antivirus report; MDE device health; tamper protection status.</t>
  </si>
  <si>
    <t xml:space="preserve">MDE P1/P2; Defender for Servers P1/P2.</t>
  </si>
  <si>
    <t xml:space="preserve">ES-1, ES-2</t>
  </si>
  <si>
    <t xml:space="preserve">10.2</t>
  </si>
  <si>
    <t xml:space="preserve">Configure Automatic Anti-Malware Signature Updates</t>
  </si>
  <si>
    <t xml:space="preserve">Defender Antivirus security intelligence updates (Windows Update / MMPC); Intune update controls; gradual release channels</t>
  </si>
  <si>
    <t xml:space="preserve">Configure security intelligence update checks every ≤4 hours (default ~hourly via cloud), engine/platform updates via Intune 'Defender update controls' channels. Alert on devices with signatures older than 3 days.</t>
  </si>
  <si>
    <t xml:space="preserve">Antivirus report showing signature currency.</t>
  </si>
  <si>
    <t xml:space="preserve">MDE.</t>
  </si>
  <si>
    <t xml:space="preserve">ES-3</t>
  </si>
  <si>
    <t xml:space="preserve">10.3</t>
  </si>
  <si>
    <t xml:space="preserve">Disable Autorun and Autoplay for Removable Media</t>
  </si>
  <si>
    <t xml:space="preserve">Intune Settings catalog (Turn off Autoplay, Disallow Autoplay for non-volume devices, default AutoRun behaviour); ASR rule 'Block untrusted and unsigned processes that run from USB'</t>
  </si>
  <si>
    <t xml:space="preserve">Configure 'Turn off Autoplay: All drives', 'Set default behavior for AutoRun: Do not execute any autorun commands', and 'Disallow Autoplay for non-volume devices' via Intune. Enable the USB ASR rule in block mode.</t>
  </si>
  <si>
    <t xml:space="preserve">Intune configuration profile; ASR report.</t>
  </si>
  <si>
    <t xml:space="preserve">Intune; MDE.</t>
  </si>
  <si>
    <t xml:space="preserve">10.4</t>
  </si>
  <si>
    <t xml:space="preserve">Configure Automatic Anti-Malware Scanning of Removable Media</t>
  </si>
  <si>
    <t xml:space="preserve">Defender Antivirus 'Scan removable drives' (full scan) + real-time protection; Device Control</t>
  </si>
  <si>
    <t xml:space="preserve">Enable 'Allow scanning of removable drives' (AllowFullScanRemovableDriveScanning) via Intune Antivirus policy; real-time protection scans on access. Use Device Control to restrict unknown removable media.</t>
  </si>
  <si>
    <t xml:space="preserve">Intune antivirus policy setting.</t>
  </si>
  <si>
    <t xml:space="preserve">ES-1</t>
  </si>
  <si>
    <t xml:space="preserve">10.5</t>
  </si>
  <si>
    <t xml:space="preserve">Enable Anti-Exploitation Features</t>
  </si>
  <si>
    <t xml:space="preserve">Defender Exploit Protection (system &amp; app mitigations: DEP, ASLR, CFG); Attack Surface Reduction rules; Credential Guard / LSA protection / VBS / HVCI; Microsoft Vulnerable Driver Blocklist; Smart App Control; macOS Gatekeeper/SIP</t>
  </si>
  <si>
    <t xml:space="preserve">Deploy Exploit Protection XML baseline and ASR rules (block mode) via Intune Endpoint security. Enable VBS, memory integrity (HVCI), Credential Guard, LSA protection and the vulnerable driver blocklist. Keep Gatekeeper and SIP enabled on macOS.</t>
  </si>
  <si>
    <t xml:space="preserve">ASR configuration report; Exploit protection policy; Device Guard status (msinfo32/Intune).</t>
  </si>
  <si>
    <t xml:space="preserve">Windows Enterprise for Credential Guard; MDE for ASR reporting.</t>
  </si>
  <si>
    <t xml:space="preserve">10.6</t>
  </si>
  <si>
    <t xml:space="preserve">Centrally Manage Anti-Malware Software</t>
  </si>
  <si>
    <t xml:space="preserve">Intune Endpoint security (Antivirus policies); Defender portal (MDE security settings management); Defender for Cloud</t>
  </si>
  <si>
    <t xml:space="preserve">Manage all Defender AV settings centrally via Intune or MDE security settings management (covers non-Intune servers). Avoid local overrides (tamper protection, disable local admin merge). Monitor via Defender portal.</t>
  </si>
  <si>
    <t xml:space="preserve">Policy assignment reports; tamper protection; local admin merge disabled.</t>
  </si>
  <si>
    <t xml:space="preserve">MDE; Intune.</t>
  </si>
  <si>
    <t xml:space="preserve">ES-1, ES-3</t>
  </si>
  <si>
    <t xml:space="preserve">10.7</t>
  </si>
  <si>
    <t xml:space="preserve">Use Behavior-Based Anti-Malware Software</t>
  </si>
  <si>
    <t xml:space="preserve">Defender for Endpoint EDR (behavioural detections, EDR in block mode, AIR); Defender Antivirus behaviour monitoring &amp; cloud ML; Defender XDR attack disruption</t>
  </si>
  <si>
    <t xml:space="preserve">Enable behaviour monitoring, cloud-delivered protection and EDR in block mode; set automated investigation &amp; remediation to Full. Ensure automatic attack disruption is enabled in Defender XDR.</t>
  </si>
  <si>
    <t xml:space="preserve">MDE advanced features settings; AIR level; detection examples.</t>
  </si>
  <si>
    <t xml:space="preserve">MDE P2 / Defender for Business.</t>
  </si>
  <si>
    <t xml:space="preserve">ES-1, LT-1</t>
  </si>
  <si>
    <t xml:space="preserve">11.1</t>
  </si>
  <si>
    <t xml:space="preserve">Establish and Maintain a Data Recovery Process</t>
  </si>
  <si>
    <t xml:space="preserve">Azure Backup; Azure Site Recovery; Microsoft 365 Backup; Purview retention; Intune/Autopilot for device rebuild</t>
  </si>
  <si>
    <t xml:space="preserve">Document backup scope, RPO/RTO by data class, recovery prioritisation and responsibilities, including M365 data (note M365 retention ≠ backup). Map each system to Azure Backup, Microsoft 365 Backup or third-party tool. Review annually.</t>
  </si>
  <si>
    <t xml:space="preserve">Data recovery policy; system-to-backup mapping with RPO/RTO.</t>
  </si>
  <si>
    <t xml:space="preserve">BR-1</t>
  </si>
  <si>
    <t xml:space="preserve">11.2</t>
  </si>
  <si>
    <t xml:space="preserve">Perform Automated Backups</t>
  </si>
  <si>
    <t xml:space="preserve">Recover</t>
  </si>
  <si>
    <t xml:space="preserve">Azure Backup (VMs, SQL, Files, Blobs, AKS, on-prem via MARS/MABS); Microsoft 365 Backup (Exchange, SharePoint, OneDrive); Azure Policy 'Configure backup on VMs'</t>
  </si>
  <si>
    <t xml:space="preserve">Use Azure Policy to auto-enrol VMs into Azure Backup with daily (or more frequent) policies. Back up Azure Files, SQL/SAP HANA, Blob (operational + vaulted), AKS. Enable Microsoft 365 Backup (or third-party) for Exchange, SharePoint, OneDrive/Teams. Monitor backup jobs with Backup Center/Business Continuity Center alerts.</t>
  </si>
  <si>
    <t xml:space="preserve">Backup policy definitions; job success reports; Azure Policy compliance.</t>
  </si>
  <si>
    <t xml:space="preserve">Azure Backup consumption; Microsoft 365 Backup pay-as-you-go.</t>
  </si>
  <si>
    <t xml:space="preserve">BR-1, BR-2</t>
  </si>
  <si>
    <t xml:space="preserve">11.3</t>
  </si>
  <si>
    <t xml:space="preserve">Protect Recovery Data</t>
  </si>
  <si>
    <t xml:space="preserve">Recovery Services / Backup vault: soft delete (always-on), immutable vaults, multi-user authorization (Resource Guard), CMK encryption, private endpoints; Azure RBAC</t>
  </si>
  <si>
    <t xml:space="preserve">Enable immutable vaults (locked), enhanced soft delete, Multi-User Authorization via Resource Guard in a separate tenant/subscription for critical operations, CMK encryption and private endpoints. Restrict Backup Contributor roles via PIM.</t>
  </si>
  <si>
    <t xml:space="preserve">Vault security settings; Resource Guard configuration; security level 'Maximum' in Backup Center.</t>
  </si>
  <si>
    <t xml:space="preserve">Azure Backup.</t>
  </si>
  <si>
    <t xml:space="preserve">BR-2</t>
  </si>
  <si>
    <t xml:space="preserve">11.4</t>
  </si>
  <si>
    <t xml:space="preserve">Establish and Maintain an Isolated Instance of Recovery Data</t>
  </si>
  <si>
    <t xml:space="preserve">Azure Backup vaulted tier (logically air-gapped, separate tenant-managed vault), immutable + locked; Cross-region restore; Microsoft 365 Backup (immutable, separate from production); Azure Storage immutability</t>
  </si>
  <si>
    <t xml:space="preserve">Keep at least one copy in a vaulted (not snapshot-only) tier with immutability locked and MUA, ideally GRS with Cross Region Restore. Consider a separate subscription/tenant for backup administration. Microsoft 365 Backup stores immutable copies separate from production data.</t>
  </si>
  <si>
    <t xml:space="preserve">Vault redundancy and immutability settings; architecture showing isolation.</t>
  </si>
  <si>
    <t xml:space="preserve">Azure Backup (GRS costs).</t>
  </si>
  <si>
    <t xml:space="preserve">11.5</t>
  </si>
  <si>
    <t xml:space="preserve">Test Data Recovery</t>
  </si>
  <si>
    <t xml:space="preserve">Azure Backup restore (alternate location); Azure Site Recovery test failover; Microsoft 365 Backup restore; Azure Chaos Studio for DR drills</t>
  </si>
  <si>
    <t xml:space="preserve">Schedule quarterly (at least) test restores of a sample of in-scope assets: Azure Backup restore to isolated VNet, ASR test failover without production impact, Microsoft 365 Backup restore of a site/mailbox. Record results against RPO/RTO.</t>
  </si>
  <si>
    <t xml:space="preserve">Restore test records with outcome and timing.</t>
  </si>
  <si>
    <t xml:space="preserve">Consumption of restore resources.</t>
  </si>
  <si>
    <t xml:space="preserve">BR-3</t>
  </si>
  <si>
    <t xml:space="preserve">12.1</t>
  </si>
  <si>
    <t xml:space="preserve">Ensure Network Infrastructure is Up-to-Date</t>
  </si>
  <si>
    <t xml:space="preserve">Azure PaaS network services (Microsoft-managed: Azure Firewall, VPN Gateway, App Gateway, Front Door); DVM network device authenticated scans; vendor firmware management</t>
  </si>
  <si>
    <t xml:space="preserve">Azure-native network services are patched by Microsoft; ensure you use supported SKUs (e.g. migrate from Basic SKUs/classic resources). For on-prem/NVA devices, keep firmware on vendor-supported versions and scan with DVM network device assessment monthly.</t>
  </si>
  <si>
    <t xml:space="preserve">SKU review; DVM network device findings; firmware register.</t>
  </si>
  <si>
    <t xml:space="preserve">DVM add-on.</t>
  </si>
  <si>
    <t xml:space="preserve">PV-6, PV-7</t>
  </si>
  <si>
    <t xml:space="preserve">12.2</t>
  </si>
  <si>
    <t xml:space="preserve">Establish and Maintain a Secure Network Architecture</t>
  </si>
  <si>
    <t xml:space="preserve">Azure landing zones (Cloud Adoption Framework) with hub-spoke / Virtual WAN; Azure Firewall; Private Link; DDoS Protection; Entra Global Secure Access (Zero Trust network access)</t>
  </si>
  <si>
    <t xml:space="preserve">Design network per CAF landing zone: segmented hub-spoke/vWAN, centralised inspection with Azure Firewall, private endpoints for PaaS, DDoS Network Protection on public endpoints, no direct internet on management. Move user access to Zero Trust (Entra Private/Internet Access). Document segmentation, least privilege and availability.</t>
  </si>
  <si>
    <t xml:space="preserve">Network architecture document; Azure Policy landing zone compliance.</t>
  </si>
  <si>
    <t xml:space="preserve">Azure Firewall/DDoS/GSA licences.</t>
  </si>
  <si>
    <t xml:space="preserve">NS-1, NS-2, NS-5</t>
  </si>
  <si>
    <t xml:space="preserve">12.3</t>
  </si>
  <si>
    <t xml:space="preserve">Securely Manage Network Infrastructure</t>
  </si>
  <si>
    <t xml:space="preserve">IaC (Bicep/Terraform) with Git version control and PR approvals; Azure Firewall Manager; Azure Bastion; Azure RBAC/PIM for Network Contributor</t>
  </si>
  <si>
    <t xml:space="preserve">Manage Azure networking only through version-controlled IaC pipelines with approvals; lock resources and restrict Network Contributor via PIM. Use secure protocols (HTTPS, SSH) and Bastion for device management. For on-prem gear, keep configs in version control.</t>
  </si>
  <si>
    <t xml:space="preserve">IaC repo history; PIM role assignments; resource locks.</t>
  </si>
  <si>
    <t xml:space="preserve">Entra ID P2 for PIM.</t>
  </si>
  <si>
    <t xml:space="preserve">NS-1, DS-6, PA-2</t>
  </si>
  <si>
    <t xml:space="preserve">12.4</t>
  </si>
  <si>
    <t xml:space="preserve">Establish and Maintain Architecture Diagram(s)</t>
  </si>
  <si>
    <t xml:space="preserve">Azure Network Watcher topology; Visio / draw.io; Defender CSPM cloud security explorer; Azure Resource Graph</t>
  </si>
  <si>
    <t xml:space="preserve">Maintain logical and physical network diagrams (generated from Network Watcher topology and enriched manually) in a controlled library; review annually or on significant change.</t>
  </si>
  <si>
    <t xml:space="preserve">Current dated diagrams with version history.</t>
  </si>
  <si>
    <t xml:space="preserve">NS-1, GS-3</t>
  </si>
  <si>
    <t xml:space="preserve">12.5</t>
  </si>
  <si>
    <t xml:space="preserve">Centralize Network Authentication, Authorization, and Auditing (AAA)</t>
  </si>
  <si>
    <t xml:space="preserve">Entra ID (SAML/OIDC for network device consoles); NPS + Entra MFA extension for RADIUS; Azure RBAC for cloud network control plane; Sentinel for audit</t>
  </si>
  <si>
    <t xml:space="preserve">Authenticate network device administration centrally via RADIUS/TACACS+ backed by AD/NPS with Entra MFA, or SAML to Entra where the vendor supports it. Azure control plane is centralised through Entra/Azure RBAC. Forward AAA logs to Sentinel.</t>
  </si>
  <si>
    <t xml:space="preserve">AAA configuration; device admin sign-in logs in Sentinel.</t>
  </si>
  <si>
    <t xml:space="preserve">NS-1, IM-1</t>
  </si>
  <si>
    <t xml:space="preserve">12.6</t>
  </si>
  <si>
    <t xml:space="preserve">Use of Secure Network Management and Communication Protocols</t>
  </si>
  <si>
    <t xml:space="preserve">WPA2/WPA3-Enterprise Wi-Fi with EAP-TLS (Intune certificate profiles, Cloud PKI); Azure policies enforcing TLS 1.2+, SSH; SNMPv3 on devices</t>
  </si>
  <si>
    <t xml:space="preserve">Use 802.1X EAP-TLS Wi-Fi with device certs issued via Intune (Cloud PKI/SCEP/PKCS). Disable Telnet, HTTP, SNMPv1/2c management. Enforce TLS 1.2+ for Azure services via policy.</t>
  </si>
  <si>
    <t xml:space="preserve">Intune Wi-Fi &amp; cert profiles; device config standard; Azure Policy report.</t>
  </si>
  <si>
    <t xml:space="preserve">Intune Cloud PKI needs Intune Suite/add-on.</t>
  </si>
  <si>
    <t xml:space="preserve">NS-1, DP-3</t>
  </si>
  <si>
    <t xml:space="preserve">12.7</t>
  </si>
  <si>
    <t xml:space="preserve">Ensure Remote Devices Utilize a VPN and are Connecting to an Enterprise's AAA Infrastructure</t>
  </si>
  <si>
    <t xml:space="preserve">Microsoft Entra Private Access / Global Secure Access client; Azure VPN Gateway P2S with Entra auth; Always On VPN; Conditional Access (compliant device)</t>
  </si>
  <si>
    <t xml:space="preserve">Require remote users to reach private resources via Entra Private Access or VPN authenticated by Entra ID/AD with MFA and device compliance. Deploy GSA client / Always On VPN profile via Intune.</t>
  </si>
  <si>
    <t xml:space="preserve">GSA/VPN Intune profile; CA policy; connection logs.</t>
  </si>
  <si>
    <t xml:space="preserve">Entra Private Access licence; Entra ID P1.</t>
  </si>
  <si>
    <t xml:space="preserve">NS-1, IM-7</t>
  </si>
  <si>
    <t xml:space="preserve">12.8</t>
  </si>
  <si>
    <t xml:space="preserve">Establish and Maintain Dedicated Computing Resources for All Administrative Work</t>
  </si>
  <si>
    <t xml:space="preserve">Privileged Access Workstations (Intune PAW profiles); Windows 365 / Azure Virtual Desktop admin workstations; Conditional Access device filters; Azure Bastion</t>
  </si>
  <si>
    <t xml:space="preserve">Build PAWs (or hardened Windows 365 Cloud PCs) for administrators with restricted apps, no email/web browsing, App Control enforced. Use Conditional Access device filters so admin roles and Azure management can only be accessed from PAW devices. No Internet browsing from admin sessions.</t>
  </si>
  <si>
    <t xml:space="preserve">PAW Intune configuration; CA policy restricting admin roles to PAW.</t>
  </si>
  <si>
    <t xml:space="preserve">Intune; Windows 365 licences; Entra ID P1.</t>
  </si>
  <si>
    <t xml:space="preserve">PA-6</t>
  </si>
  <si>
    <t xml:space="preserve">13.1</t>
  </si>
  <si>
    <t xml:space="preserve">Centralize Security Event Alerting</t>
  </si>
  <si>
    <t xml:space="preserve">Microsoft Defender XDR (unified incidents) + Microsoft Sentinel (SIEM); Defender for Cloud alerts streamed</t>
  </si>
  <si>
    <t xml:space="preserve">Connect Defender XDR, Defender for Cloud and third-party sources to Sentinel in the unified Defender portal so all alerts correlate into incidents. Enable incident notifications/automation (playbooks) and define on-call routing.</t>
  </si>
  <si>
    <t xml:space="preserve">Unified portal incident queue; connector list; notification rules.</t>
  </si>
  <si>
    <t xml:space="preserve">Sentinel; Defender XDR licences.</t>
  </si>
  <si>
    <t xml:space="preserve">LT-1, LT-5, IR-2</t>
  </si>
  <si>
    <t xml:space="preserve">13.2</t>
  </si>
  <si>
    <t xml:space="preserve">Deploy a Host-Based Intrusion Detection Solution</t>
  </si>
  <si>
    <t xml:space="preserve">Defender for Endpoint EDR; Defender for Servers; Defender for Identity (domain controllers)</t>
  </si>
  <si>
    <t xml:space="preserve">Onboard all endpoints and servers (Windows, macOS, Linux) to MDE EDR; Defender for Servers for cloud/Arc servers; Defender for Identity on DCs/AD FS/AD CS/Entra Connect. Track onboarding coverage at 100%.</t>
  </si>
  <si>
    <t xml:space="preserve">MDE onboarding coverage; MDI sensor health.</t>
  </si>
  <si>
    <t xml:space="preserve">MDE P2; Defender for Servers P1/P2; MDI.</t>
  </si>
  <si>
    <t xml:space="preserve">13.3</t>
  </si>
  <si>
    <t xml:space="preserve">Deploy a Network Intrusion Detection Solution</t>
  </si>
  <si>
    <t xml:space="preserve">Azure Firewall Premium IDPS (alert mode); Defender for IoT; Network Watcher packet capture / virtual network TAP; Defender for Cloud network-layer threat detection; Defender for DNS/Resource Manager</t>
  </si>
  <si>
    <t xml:space="preserve">Deploy Azure Firewall Premium with IDPS on hub VNets (alert or alert+deny). Use Defender for IoT for OT networks. MDE network detections cover endpoint-level network attacks. Send alerts to Sentinel.</t>
  </si>
  <si>
    <t xml:space="preserve">Firewall IDPS config; IDPS alert logs.</t>
  </si>
  <si>
    <t xml:space="preserve">Azure Firewall Premium; Defender for IoT.</t>
  </si>
  <si>
    <t xml:space="preserve">NS-6, LT-1</t>
  </si>
  <si>
    <t xml:space="preserve">13.4</t>
  </si>
  <si>
    <t xml:space="preserve">Perform Traffic Filtering Between Network Segments</t>
  </si>
  <si>
    <t xml:space="preserve">NSGs/ASGs; Azure Firewall (east-west); Azure Virtual Network Manager security admin rules; on-prem firewalls</t>
  </si>
  <si>
    <t xml:space="preserve">Enforce default-deny between spokes/subnets via Azure Firewall with UDRs, NSGs/ASGs per tier, and AVNM security admin rules for organisation-wide guardrails (e.g. block RDP/SSH from internet).</t>
  </si>
  <si>
    <t xml:space="preserve">Firewall policy; NSG/AVNM rule exports; segmentation tests.</t>
  </si>
  <si>
    <t xml:space="preserve">Azure Firewall consumption.</t>
  </si>
  <si>
    <t xml:space="preserve">NS-1, NS-2</t>
  </si>
  <si>
    <t xml:space="preserve">13.5</t>
  </si>
  <si>
    <t xml:space="preserve">Manage Access Control for Remote Assets</t>
  </si>
  <si>
    <t xml:space="preserve">Intune compliance + Conditional Access (device compliance, risk from MDE); Entra Private Access; Defender for Endpoint device risk</t>
  </si>
  <si>
    <t xml:space="preserve">Require compliant device (up-to-date OS, AV on, encrypted, MDE risk score ≤ medium) in CA before access to enterprise resources from remote devices. Combine with Entra Private Access for private apps.</t>
  </si>
  <si>
    <t xml:space="preserve">Compliance policies incl. MDE risk; CA policies.</t>
  </si>
  <si>
    <t xml:space="preserve">Intune; Entra ID P1; MDE P2.</t>
  </si>
  <si>
    <t xml:space="preserve">IM-7, ES-3</t>
  </si>
  <si>
    <t xml:space="preserve">13.6</t>
  </si>
  <si>
    <t xml:space="preserve">Collect Network Traffic Flow Logs</t>
  </si>
  <si>
    <t xml:space="preserve">VNet flow logs (Network Watcher) + Traffic Analytics; Azure Firewall logs; Sentinel; Entra GSA traffic logs</t>
  </si>
  <si>
    <t xml:space="preserve">Enable VNet flow logs for all VNets (Azure Policy deploy-if-not-exists) to Storage and Traffic Analytics; ingest to Sentinel. Collect Azure Firewall structured logs. Collect NetFlow/syslog from on-prem firewalls via AMA.</t>
  </si>
  <si>
    <t xml:space="preserve">Flow log policy compliance; Traffic Analytics dashboard.</t>
  </si>
  <si>
    <t xml:space="preserve">Network Watcher/LA ingestion costs.</t>
  </si>
  <si>
    <t xml:space="preserve">LT-4, NS-1</t>
  </si>
  <si>
    <t xml:space="preserve">13.7</t>
  </si>
  <si>
    <t xml:space="preserve">Deploy a Host-Based Intrusion Prevention Solution</t>
  </si>
  <si>
    <t xml:space="preserve">Defender for Endpoint (EDR in block mode, AIR, network protection, ASR, contain device / contain user); Defender for Servers</t>
  </si>
  <si>
    <t xml:space="preserve">Enable EDR in block mode, ASR rules, network protection, automated investigation &amp; remediation (Full) and automatic attack disruption (device and user containment) across endpoints and servers.</t>
  </si>
  <si>
    <t xml:space="preserve">MDE advanced feature settings; ASR block-mode report.</t>
  </si>
  <si>
    <t xml:space="preserve">13.8</t>
  </si>
  <si>
    <t xml:space="preserve">Deploy a Network Intrusion Prevention Solution</t>
  </si>
  <si>
    <t xml:space="preserve">Azure Firewall Premium IDPS (Alert and deny) with TLS inspection; Azure WAF (Front Door/App Gateway); Azure DDoS Network Protection</t>
  </si>
  <si>
    <t xml:space="preserve">Set Azure Firewall Premium IDPS to 'Alert and deny' with TLS inspection for egress/east-west where possible. Use WAF (OWASP/DRS rules) in prevention mode for web apps; DDoS Network Protection for public IPs.</t>
  </si>
  <si>
    <t xml:space="preserve">IDPS mode config; WAF policy in Prevention mode.</t>
  </si>
  <si>
    <t xml:space="preserve">Azure Firewall Premium; WAF; DDoS Protection.</t>
  </si>
  <si>
    <t xml:space="preserve">NS-6, NS-5</t>
  </si>
  <si>
    <t xml:space="preserve">13.9</t>
  </si>
  <si>
    <t xml:space="preserve">Deploy Port-Level Access Control</t>
  </si>
  <si>
    <t xml:space="preserve">802.1X with Intune-deployed certificates (Cloud PKI / SCEP) + NPS/RADIUS or vendor NAC; Azure: NSGs (no physical ports)</t>
  </si>
  <si>
    <t xml:space="preserve">Implement 802.1X on wired switches and Wi-Fi using EAP-TLS with device certificates issued through Intune; RADIUS via NPS or vendor NAC that checks Intune compliance (NAC partner integration). Place non-compliant/unknown devices in a quarantine VLAN.</t>
  </si>
  <si>
    <t xml:space="preserve">802.1X switch config; Intune cert profiles; NAC compliance integration.</t>
  </si>
  <si>
    <t xml:space="preserve">Intune Cloud PKI (Intune Suite) or on-prem ADCS; third-party NAC.</t>
  </si>
  <si>
    <t xml:space="preserve">NS-1</t>
  </si>
  <si>
    <t xml:space="preserve">13.10</t>
  </si>
  <si>
    <t xml:space="preserve">Perform Application Layer Filtering</t>
  </si>
  <si>
    <t xml:space="preserve">Azure Web Application Firewall (Front Door / Application Gateway); Azure Firewall Premium (TLS inspection, URL filtering); Entra Internet Access; API Management policies</t>
  </si>
  <si>
    <t xml:space="preserve">Place all internet-facing web apps behind Azure WAF in prevention mode with managed rule sets and bot protection. Use Azure Firewall Premium as a filtering proxy with TLS inspection for outbound. Apply API Management policies for APIs.</t>
  </si>
  <si>
    <t xml:space="preserve">WAF policies (Prevention); firewall application rules; WAF logs.</t>
  </si>
  <si>
    <t xml:space="preserve">WAF / Firewall Premium consumption.</t>
  </si>
  <si>
    <t xml:space="preserve">NS-6, NS-8</t>
  </si>
  <si>
    <t xml:space="preserve">13.11</t>
  </si>
  <si>
    <t xml:space="preserve">Tune Security Event Alerting Thresholds</t>
  </si>
  <si>
    <t xml:space="preserve">Sentinel analytics rule tuning, automation rules, SOC optimization insights; Defender XDR alert tuning (suppression) rules; Workbooks (SOC efficiency)</t>
  </si>
  <si>
    <t xml:space="preserve">Review false positives monthly using Sentinel SOC optimization recommendations and incident closing classifications. Adjust thresholds, entity exclusions, watchlists and Defender XDR alert tuning rules. Document each tuning change.</t>
  </si>
  <si>
    <t xml:space="preserve">Monthly tuning log; SOC optimization recommendations actioned.</t>
  </si>
  <si>
    <t xml:space="preserve">Sentinel.</t>
  </si>
  <si>
    <t xml:space="preserve">LT-1</t>
  </si>
  <si>
    <t xml:space="preserve">14.1</t>
  </si>
  <si>
    <t xml:space="preserve">Establish and Maintain a Security Awareness Program</t>
  </si>
  <si>
    <t xml:space="preserve">Defender for Office 365 Attack Simulation Training (training catalogue); Viva Learning; Microsoft Learn</t>
  </si>
  <si>
    <t xml:space="preserve">Define the awareness program (annual + onboarding training, topics, owners, metrics). Deliver content via Attack Simulation Training modules and/or Viva Learning; track completion. Review annually.</t>
  </si>
  <si>
    <t xml:space="preserve">Program document; completion reports.</t>
  </si>
  <si>
    <t xml:space="preserve">Attack Simulation Training needs Defender for Office 365 P2 (E5).</t>
  </si>
  <si>
    <t xml:space="preserve">GS-1</t>
  </si>
  <si>
    <t xml:space="preserve">14.2</t>
  </si>
  <si>
    <t xml:space="preserve">Train Workforce Members to Recognize Social Engineering Attacks</t>
  </si>
  <si>
    <t xml:space="preserve">Attack Simulation Training (phishing, QR, OAuth consent, credential harvest simulations + assigned training); Teams/Report button</t>
  </si>
  <si>
    <t xml:space="preserve">Run monthly/quarterly automated phishing simulations with assigned training for users who fall for them. Include QR-code, vishing awareness and MFA-fatigue topics.</t>
  </si>
  <si>
    <t xml:space="preserve">Simulation results trend; training completion.</t>
  </si>
  <si>
    <t xml:space="preserve">Defender for Office 365 P2.</t>
  </si>
  <si>
    <t xml:space="preserve">14.3</t>
  </si>
  <si>
    <t xml:space="preserve">Train Workforce Members on Authentication Best Practices</t>
  </si>
  <si>
    <t xml:space="preserve">Attack Simulation Training modules; Entra MFA registration campaign / passkey onboarding comms; Viva Learning</t>
  </si>
  <si>
    <t xml:space="preserve">Assign training on MFA, passkeys, password managers and MFA-fatigue; pair with Entra registration campaigns nudging users to Authenticator/passkeys.</t>
  </si>
  <si>
    <t xml:space="preserve">Training completion; authentication methods registration report.</t>
  </si>
  <si>
    <t xml:space="preserve">14.4</t>
  </si>
  <si>
    <t xml:space="preserve">Train Workforce on Data Handling Best Practices</t>
  </si>
  <si>
    <t xml:space="preserve">Viva Learning / ATS modules; Purview sensitivity label tooltips &amp; DLP policy tips (just-in-time training)</t>
  </si>
  <si>
    <t xml:space="preserve">Train on classification, storage, transfer, archival and destruction. Reinforce with sensitivity label descriptions and DLP policy tips linking to internal guidance.</t>
  </si>
  <si>
    <t xml:space="preserve">Training completion; policy tip configuration.</t>
  </si>
  <si>
    <t xml:space="preserve">GS-1, DP-1</t>
  </si>
  <si>
    <t xml:space="preserve">14.5</t>
  </si>
  <si>
    <t xml:space="preserve">Train Workforce Members on Causes of Unintentional Data Exposure</t>
  </si>
  <si>
    <t xml:space="preserve">Viva Learning / ATS; DLP policy tips; Outlook 'external recipient' MailTips</t>
  </si>
  <si>
    <t xml:space="preserve">Cover mis-delivery, over-sharing links, losing devices and AI prompt hygiene. Enable external MailTips and DLP override justifications as reminders.</t>
  </si>
  <si>
    <t xml:space="preserve">Training completion; MailTips settings.</t>
  </si>
  <si>
    <t xml:space="preserve">14.6</t>
  </si>
  <si>
    <t xml:space="preserve">Train Workforce Members on Recognizing and Reporting Security Incidents</t>
  </si>
  <si>
    <t xml:space="preserve">Microsoft Report Message / Report Phishing button (built-in Outlook); Teams message reporting; ATS training; Defender user-reported settings</t>
  </si>
  <si>
    <t xml:space="preserve">Enable the built-in Outlook Report button and Teams reporting with submissions to a monitored mailbox + Microsoft. Train users on what and how to report (link to 17.3).</t>
  </si>
  <si>
    <t xml:space="preserve">User reported settings; reported message volume; training completion.</t>
  </si>
  <si>
    <t xml:space="preserve">EOP/Defender for Office 365.</t>
  </si>
  <si>
    <t xml:space="preserve">GS-1, IR-1</t>
  </si>
  <si>
    <t xml:space="preserve">14.7</t>
  </si>
  <si>
    <t xml:space="preserve">Train Workforce on How to Identify and Report if Their Enterprise Assets are Missing Security Updates</t>
  </si>
  <si>
    <t xml:space="preserve">Intune Company Portal (compliance status &amp; remediation); Windows Update notifications; training content</t>
  </si>
  <si>
    <t xml:space="preserve">Teach users to check Company Portal/Windows Security for compliance and update status and to report failures to the service desk. Intune compliance notifications email users when devices are non-compliant.</t>
  </si>
  <si>
    <t xml:space="preserve">Compliance notification templates; training content.</t>
  </si>
  <si>
    <t xml:space="preserve">14.8</t>
  </si>
  <si>
    <t xml:space="preserve">Train Workforce on the Dangers of Connecting to and Transmitting Data Over Insecure Networks</t>
  </si>
  <si>
    <t xml:space="preserve">Training content; Global Secure Access / VPN always-on; Intune Wi-Fi profiles</t>
  </si>
  <si>
    <t xml:space="preserve">Train on public Wi-Fi risks and requirement to use enterprise VPN/GSA. Technically reduce reliance on behaviour with always-on GSA/VPN and network protection.</t>
  </si>
  <si>
    <t xml:space="preserve">Training completion; GSA/VPN deployment.</t>
  </si>
  <si>
    <t xml:space="preserve">14.9</t>
  </si>
  <si>
    <t xml:space="preserve">Conduct Role-Specific Security Awareness and Skills Training</t>
  </si>
  <si>
    <t xml:space="preserve">Microsoft Learn (security role paths, SC-xxx certifications); Applied Skills; GitHub Advanced Security training for developers</t>
  </si>
  <si>
    <t xml:space="preserve">Provide role-based training: admins (privileged access, secure Azure ops), developers (secure coding, OWASP), SOC (Sentinel/Defender XDR), executives (BEC/whaling). Track via Microsoft Learn collections.</t>
  </si>
  <si>
    <t xml:space="preserve">Role training plan and completion.</t>
  </si>
  <si>
    <t xml:space="preserve">Microsoft Learn free.</t>
  </si>
  <si>
    <t xml:space="preserve">GS-1, DS-1</t>
  </si>
  <si>
    <t xml:space="preserve">15.1</t>
  </si>
  <si>
    <t xml:space="preserve">Establish and Maintain an Inventory of Service Providers</t>
  </si>
  <si>
    <t xml:space="preserve">Defender for Cloud Apps (discovered SaaS &amp; app catalog risk scores); Entra enterprise apps; Entra cross-tenant access/partner list; SharePoint list / Dataverse</t>
  </si>
  <si>
    <t xml:space="preserve">Maintain a provider register (classification, contacts) and enrich it with SaaS discovered by Defender for Cloud Apps (cloud discovery via MDE) and enterprise apps/guests/GDAP partners in Entra. Review annually.</t>
  </si>
  <si>
    <t xml:space="preserve">Service provider register; MDCA discovered app report.</t>
  </si>
  <si>
    <t xml:space="preserve">Defender for Cloud Apps (E5).</t>
  </si>
  <si>
    <t xml:space="preserve">15.2</t>
  </si>
  <si>
    <t xml:space="preserve">Establish and Maintain a Service Provider Management Policy</t>
  </si>
  <si>
    <t xml:space="preserve">Purview Compliance Manager (policy evidence); SharePoint policy library</t>
  </si>
  <si>
    <t xml:space="preserve">Write a policy covering classification, inventory, assessment, monitoring and decommissioning of providers; review annually.</t>
  </si>
  <si>
    <t xml:space="preserve">Approved policy.</t>
  </si>
  <si>
    <t xml:space="preserve">15.3</t>
  </si>
  <si>
    <t xml:space="preserve">Classify Service Providers</t>
  </si>
  <si>
    <t xml:space="preserve">Defender for Cloud Apps risk scores &amp; sanctioning; register attributes</t>
  </si>
  <si>
    <t xml:space="preserve">Classify providers by data sensitivity, volume, availability requirements and regulation; use MDCA risk scores as one input; mark sanctioned/unsanctioned.</t>
  </si>
  <si>
    <t xml:space="preserve">Classification in register; MDCA app tags.</t>
  </si>
  <si>
    <t xml:space="preserve">Defender for Cloud Apps.</t>
  </si>
  <si>
    <t xml:space="preserve">15.4</t>
  </si>
  <si>
    <t xml:space="preserve">Ensure Service Provider Contracts Include Security Requirements</t>
  </si>
  <si>
    <t xml:space="preserve">Microsoft Products and Services DPA / Online Services Terms (for Microsoft as a provider); Service Trust Portal</t>
  </si>
  <si>
    <t xml:space="preserve">Include security requirements in contracts: incident notification, encryption, data disposal, audit rights, log access. For Microsoft itself, review the DPA and Product Terms in the Service Trust Portal.</t>
  </si>
  <si>
    <t xml:space="preserve">Contract clause checklist; signed DPAs.</t>
  </si>
  <si>
    <t xml:space="preserve">15.5</t>
  </si>
  <si>
    <t xml:space="preserve">Assess Service Providers</t>
  </si>
  <si>
    <t xml:space="preserve">Service Trust Portal (Microsoft SOC 2/ISO reports); Compliance Manager assessments; Defender for Cloud Apps app catalog security attributes</t>
  </si>
  <si>
    <t xml:space="preserve">Assess providers per classification (questionnaires, SOC 2 / ISO 27001 reports, pentest summaries) at onboarding and annually. Use Service Trust Portal for Microsoft's own audit reports.</t>
  </si>
  <si>
    <t xml:space="preserve">Assessment records and reports on file.</t>
  </si>
  <si>
    <t xml:space="preserve">15.6</t>
  </si>
  <si>
    <t xml:space="preserve">Monitor Service Providers</t>
  </si>
  <si>
    <t xml:space="preserve">Defender for Cloud Apps (app governance, anomaly policies on OAuth apps); Entra sign-in logs for guests/partners; GDAP/Lighthouse activity in Sentinel; M365 Service Health/Message Center</t>
  </si>
  <si>
    <t xml:space="preserve">Monitor provider access and behaviour: app governance alerts for risky OAuth apps, Sentinel analytics on guest/partner and Lighthouse activity, release notes and breach notifications. Reassess on change.</t>
  </si>
  <si>
    <t xml:space="preserve">MDCA app governance policies; partner activity reports.</t>
  </si>
  <si>
    <t xml:space="preserve">Defender for Cloud Apps + app governance (E5).</t>
  </si>
  <si>
    <t xml:space="preserve">GS-1, LT-1</t>
  </si>
  <si>
    <t xml:space="preserve">15.7</t>
  </si>
  <si>
    <t xml:space="preserve">Securely Decommission Service Providers</t>
  </si>
  <si>
    <t xml:space="preserve">Entra (remove enterprise apps, revoke OAuth consents, cross-tenant access settings, remove guests); Partner Center (remove GDAP relationships); Azure Lighthouse delegation removal; Key Vault secret rotation</t>
  </si>
  <si>
    <t xml:space="preserve">Decommission checklist: disable/delete service principal and consents, remove guest accounts and GDAP/Lighthouse delegations, rotate shared secrets/keys, confirm data deletion certificate, deactivate data flows.</t>
  </si>
  <si>
    <t xml:space="preserve">Decommission checklist; audit logs of removals; deletion certificate.</t>
  </si>
  <si>
    <t xml:space="preserve">GS-1, IM-1</t>
  </si>
  <si>
    <t xml:space="preserve">16.1</t>
  </si>
  <si>
    <t xml:space="preserve">Establish and Maintain a Secure Application Development Process</t>
  </si>
  <si>
    <t xml:space="preserve">Microsoft Security Development Lifecycle (SDL); GitHub Advanced Security / GitHub Advanced Security for Azure DevOps; Defender for Cloud DevOps security</t>
  </si>
  <si>
    <t xml:space="preserve">Adopt SDL-based process: secure design, coding standards, code review, SAST/SCA/secret scanning, testing, release approval. Enforce via branch protection and required checks in GitHub/Azure DevOps.</t>
  </si>
  <si>
    <t xml:space="preserve">Secure SDLC document; branch policies.</t>
  </si>
  <si>
    <t xml:space="preserve">GHAS licence; Defender CSPM for DevOps posture.</t>
  </si>
  <si>
    <t xml:space="preserve">DS-1</t>
  </si>
  <si>
    <t xml:space="preserve">16.2</t>
  </si>
  <si>
    <t xml:space="preserve">Establish and Maintain a Process to Accept and Address Software Vulnerabilities</t>
  </si>
  <si>
    <t xml:space="preserve">GitHub security advisories / private vulnerability reporting; Azure DevOps boards; security.txt</t>
  </si>
  <si>
    <t xml:space="preserve">Publish a vulnerability reporting route (security.txt / private vulnerability reporting), triage with severity SLAs, track in Boards/Issues.</t>
  </si>
  <si>
    <t xml:space="preserve">Process document; intake tracking.</t>
  </si>
  <si>
    <t xml:space="preserve">DS-1, DS-6</t>
  </si>
  <si>
    <t xml:space="preserve">16.3</t>
  </si>
  <si>
    <t xml:space="preserve">Perform Root Cause Analysis on Security Vulnerabilities</t>
  </si>
  <si>
    <t xml:space="preserve">GitHub code scanning / CodeQL history; Azure DevOps work items</t>
  </si>
  <si>
    <t xml:space="preserve">For significant vulnerabilities, perform RCA and feed outcomes into coding standards, CodeQL custom queries and training.</t>
  </si>
  <si>
    <t xml:space="preserve">RCA records.</t>
  </si>
  <si>
    <t xml:space="preserve">16.4</t>
  </si>
  <si>
    <t xml:space="preserve">Establish and Manage an Inventory of Third-Party Software Components</t>
  </si>
  <si>
    <t xml:space="preserve">GitHub dependency graph &amp; SBOM export; Dependabot; GHAS for Azure DevOps dependency scanning; Defender for Cloud DevOps (dependency findings); Microsoft SBOM tool</t>
  </si>
  <si>
    <t xml:space="preserve">Generate SBOMs (SPDX) per build using the Microsoft SBOM tool or GitHub SBOM export; use dependency graph to inventory components, risks and versions; review monthly.</t>
  </si>
  <si>
    <t xml:space="preserve">SBOM artefacts per release; dependency graph.</t>
  </si>
  <si>
    <t xml:space="preserve">GHAS (for private repos).</t>
  </si>
  <si>
    <t xml:space="preserve">DS-2</t>
  </si>
  <si>
    <t xml:space="preserve">16.5</t>
  </si>
  <si>
    <t xml:space="preserve">Use Up-to-Date and Trusted Third-Party Software Components</t>
  </si>
  <si>
    <t xml:space="preserve">Dependabot alerts &amp; security updates; Azure Artifacts upstream sources (curated feeds); GitHub dependency review action</t>
  </si>
  <si>
    <t xml:space="preserve">Enable Dependabot security &amp; version updates; enforce dependency review in PRs to block vulnerable/unlicensed packages; pull packages only from curated Azure Artifacts/GitHub Packages feeds.</t>
  </si>
  <si>
    <t xml:space="preserve">Dependabot config; PR checks; feed config.</t>
  </si>
  <si>
    <t xml:space="preserve">GHAS.</t>
  </si>
  <si>
    <t xml:space="preserve">16.6</t>
  </si>
  <si>
    <t xml:space="preserve">Establish and Maintain a Severity Rating System and Process for Application Vulnerabilities</t>
  </si>
  <si>
    <t xml:space="preserve">GitHub/GHAS severity (CVSS) &amp; Defender for Cloud DevOps prioritisation</t>
  </si>
  <si>
    <t xml:space="preserve">Define severity ratings and remediation SLAs for app vulnerabilities (based on CVSS + exploitability + exposure); apply in code scanning alerts triage.</t>
  </si>
  <si>
    <t xml:space="preserve">Severity standard; SLA reports.</t>
  </si>
  <si>
    <t xml:space="preserve">16.7</t>
  </si>
  <si>
    <t xml:space="preserve">Use Standard Hardening Configuration Templates for Application Infrastructure</t>
  </si>
  <si>
    <t xml:space="preserve">Azure Policy &amp; landing zone policy initiatives; Bicep/Terraform verified modules (AVM); Defender for Cloud IaC scanning (Microsoft Security DevOps); AKS baseline / Pod Security</t>
  </si>
  <si>
    <t xml:space="preserve">Build application infra from Azure Verified Modules with secure defaults; scan IaC in pipelines with Microsoft Security DevOps (Checkov/Template Analyzer); enforce MCSB via Azure Policy; harden containers with Defender for Containers and AKS policies.</t>
  </si>
  <si>
    <t xml:space="preserve">IaC scan results; Azure Policy compliance; MCSB score.</t>
  </si>
  <si>
    <t xml:space="preserve">Defender CSPM/Containers.</t>
  </si>
  <si>
    <t xml:space="preserve">PV-1, DS-3</t>
  </si>
  <si>
    <t xml:space="preserve">16.8</t>
  </si>
  <si>
    <t xml:space="preserve">Separate Production and Non-Production Systems</t>
  </si>
  <si>
    <t xml:space="preserve">Separate subscriptions / management groups per environment; Azure DevOps/GitHub environments with approvals; separate Entra tenants for dev/test where appropriate; Power Platform environments</t>
  </si>
  <si>
    <t xml:space="preserve">Keep dev/test/prod in different subscriptions (and VNets) with separate RBAC; use deployment environments and approval gates; never use production data in non-prod without masking.</t>
  </si>
  <si>
    <t xml:space="preserve">Management group structure; environment approvals.</t>
  </si>
  <si>
    <t xml:space="preserve">DS-6, NS-1</t>
  </si>
  <si>
    <t xml:space="preserve">16.9</t>
  </si>
  <si>
    <t xml:space="preserve">Train Developers in Application Security Concepts and Secure Coding</t>
  </si>
  <si>
    <t xml:space="preserve">Microsoft Learn secure development paths; GitHub Copilot Autofix guidance; OWASP content</t>
  </si>
  <si>
    <t xml:space="preserve">Annual secure coding training for developers (OWASP Top 10, secure design, threat modelling); track completion.</t>
  </si>
  <si>
    <t xml:space="preserve">Training completion records.</t>
  </si>
  <si>
    <t xml:space="preserve">DS-1, GS-1</t>
  </si>
  <si>
    <t xml:space="preserve">16.10</t>
  </si>
  <si>
    <t xml:space="preserve">Apply Secure Design Principles in Application Architectures</t>
  </si>
  <si>
    <t xml:space="preserve">Azure Well-Architected Framework (Security pillar); MCSB; managed identities; Key Vault; Entra ID for app auth</t>
  </si>
  <si>
    <t xml:space="preserve">Apply least privilege, defence in depth, input validation, secure defaults: use managed identities instead of secrets, Key Vault for secrets, Entra ID for authentication, private endpoints. Review designs against WAF Security pillar.</t>
  </si>
  <si>
    <t xml:space="preserve">Design review records; WAF assessment.</t>
  </si>
  <si>
    <t xml:space="preserve">DS-1, IM-3</t>
  </si>
  <si>
    <t xml:space="preserve">16.11</t>
  </si>
  <si>
    <t xml:space="preserve">Leverage Vetted Modules or Services for Application Security Components</t>
  </si>
  <si>
    <t xml:space="preserve">Microsoft Entra ID / MSAL (authentication); Key Vault / Managed HSM (crypto &amp; secrets); Azure API Management; Azure WAF; .NET Data Protection APIs</t>
  </si>
  <si>
    <t xml:space="preserve">Use platform services for identity (MSAL + Entra/External ID), secrets/crypto (Key Vault), logging and encryption rather than custom implementations.</t>
  </si>
  <si>
    <t xml:space="preserve">Architecture records showing vetted components.</t>
  </si>
  <si>
    <t xml:space="preserve">DS-1, IM-2</t>
  </si>
  <si>
    <t xml:space="preserve">16.12</t>
  </si>
  <si>
    <t xml:space="preserve">Implement Code-Level Security Checks</t>
  </si>
  <si>
    <t xml:space="preserve">GitHub Advanced Security (CodeQL code scanning, secret scanning &amp; push protection) / GHAS for Azure DevOps; Microsoft Security DevOps extension; Defender for Cloud DevOps security</t>
  </si>
  <si>
    <t xml:space="preserve">Enable CodeQL code scanning on PRs and default branches, secret scanning with push protection, dependency scanning; fail builds on high/critical findings; surface results in Defender for Cloud DevOps.</t>
  </si>
  <si>
    <t xml:space="preserve">Code scanning config; PR check policy; findings trend.</t>
  </si>
  <si>
    <t xml:space="preserve">GHAS licence; Defender CSPM.</t>
  </si>
  <si>
    <t xml:space="preserve">DS-4</t>
  </si>
  <si>
    <t xml:space="preserve">16.13</t>
  </si>
  <si>
    <t xml:space="preserve">Conduct Application Penetration Testing</t>
  </si>
  <si>
    <t xml:space="preserve">Third-party pentesters (follow Microsoft Cloud Penetration Testing Rules of Engagement); Azure WAF in detection for test windows</t>
  </si>
  <si>
    <t xml:space="preserve">Engage authenticated application pentests for critical apps before release and annually, following Microsoft's Rules of Engagement for Azure-hosted apps. Track findings to remediation.</t>
  </si>
  <si>
    <t xml:space="preserve">Pentest reports; remediation tracking.</t>
  </si>
  <si>
    <t xml:space="preserve">External service.</t>
  </si>
  <si>
    <t xml:space="preserve">DS-5</t>
  </si>
  <si>
    <t xml:space="preserve">16.14</t>
  </si>
  <si>
    <t xml:space="preserve">Conduct Threat Modeling</t>
  </si>
  <si>
    <t xml:space="preserve">Microsoft Threat Modeling Tool (STRIDE); Azure DevOps work items</t>
  </si>
  <si>
    <t xml:space="preserve">Threat model new apps and significant changes using STRIDE with the Microsoft Threat Modeling Tool; track mitigations as work items.</t>
  </si>
  <si>
    <t xml:space="preserve">Threat model files; mitigation work items.</t>
  </si>
  <si>
    <t xml:space="preserve">Free tool.</t>
  </si>
  <si>
    <t xml:space="preserve">17.1</t>
  </si>
  <si>
    <t xml:space="preserve">Designate Personnel to Manage Incident Handling</t>
  </si>
  <si>
    <t xml:space="preserve">Defender XDR / Sentinel incident assignment; Entra roles (Security Operator/Admin); Microsoft Incident Response retainer (optional)</t>
  </si>
  <si>
    <t xml:space="preserve">Name a primary and backup incident handler/manager; grant them appropriate Defender XDR unified RBAC roles; review annually.</t>
  </si>
  <si>
    <t xml:space="preserve">IR roster; role assignments.</t>
  </si>
  <si>
    <t xml:space="preserve">IR-1</t>
  </si>
  <si>
    <t xml:space="preserve">17.2</t>
  </si>
  <si>
    <t xml:space="preserve">Establish and Maintain Contact Information for Reporting Security Incidents</t>
  </si>
  <si>
    <t xml:space="preserve">M365 admin center technical/security contacts; Defender for Cloud security contact email; Teams IR channel</t>
  </si>
  <si>
    <t xml:space="preserve">Maintain contacts for internal stakeholders, law enforcement, cyber insurer, regulators, key vendors, Microsoft support. Set Defender for Cloud email notifications and tenant technical contact. Review annually.</t>
  </si>
  <si>
    <t xml:space="preserve">Contact list with review date; Defender for Cloud notification settings.</t>
  </si>
  <si>
    <t xml:space="preserve">IR-2</t>
  </si>
  <si>
    <t xml:space="preserve">17.3</t>
  </si>
  <si>
    <t xml:space="preserve">Establish and Maintain an Enterprise Process for Reporting Incidents</t>
  </si>
  <si>
    <t xml:space="preserve">Outlook/Teams report buttons; Service desk integration (ServiceNow ↔ Defender/Sentinel connectors)</t>
  </si>
  <si>
    <t xml:space="preserve">Document how workforce reports incidents (timeframe, mechanism, information to include); make it easy (report button, service desk). Review annually.</t>
  </si>
  <si>
    <t xml:space="preserve">Reporting procedure; intranet page.</t>
  </si>
  <si>
    <t xml:space="preserve">17.4</t>
  </si>
  <si>
    <t xml:space="preserve">Establish and Maintain an Incident Response Process</t>
  </si>
  <si>
    <t xml:space="preserve">Defender XDR incident management; Sentinel automation rules &amp; playbooks (Logic Apps); Microsoft IR playbooks (phishing, password spray, app consent grant); Security Copilot</t>
  </si>
  <si>
    <t xml:space="preserve">Document IR process (roles, compliance reporting, communication plan); operationalise with Sentinel/Defender XDR incident workflows, automation rules and playbooks based on Microsoft IR playbook guidance.</t>
  </si>
  <si>
    <t xml:space="preserve">IR plan; playbook list; incident metrics (MTTA/MTTR).</t>
  </si>
  <si>
    <t xml:space="preserve">Sentinel; Logic Apps consumption.</t>
  </si>
  <si>
    <t xml:space="preserve">IR-1, IR-4</t>
  </si>
  <si>
    <t xml:space="preserve">17.5</t>
  </si>
  <si>
    <t xml:space="preserve">Assign Key Roles and Responsibilities</t>
  </si>
  <si>
    <t xml:space="preserve">Defender XDR unified RBAC; Teams IR team; RACI</t>
  </si>
  <si>
    <t xml:space="preserve">Assign IR roles (legal, IT, security, comms, HR, management, vendors) with RACI; review annually.</t>
  </si>
  <si>
    <t xml:space="preserve">IR RACI.</t>
  </si>
  <si>
    <t xml:space="preserve">17.6</t>
  </si>
  <si>
    <t xml:space="preserve">Define Mechanisms for Communicating During Incident Response</t>
  </si>
  <si>
    <t xml:space="preserve">Microsoft Teams (dedicated IR team incl. out-of-band tenant option); phone bridge; Sentinel incident comments; Security Copilot incident summaries</t>
  </si>
  <si>
    <t xml:space="preserve">Define primary and out-of-band communications (e.g. Teams in a separate/emergency tenant, phone tree, Signal) in case the primary tenant is compromised.</t>
  </si>
  <si>
    <t xml:space="preserve">Communications plan; out-of-band channel test.</t>
  </si>
  <si>
    <t xml:space="preserve">17.7</t>
  </si>
  <si>
    <t xml:space="preserve">Conduct Routine Incident Response Exercises</t>
  </si>
  <si>
    <t xml:space="preserve">Attack Simulation Training; Defender for Endpoint evaluation lab / attack simulations; tabletop exercises; Microsoft IR workshops</t>
  </si>
  <si>
    <t xml:space="preserve">Run at least annual tabletop and technical exercises (e.g. ransomware, BEC, token theft) testing communications, decision-making and tooling.</t>
  </si>
  <si>
    <t xml:space="preserve">Exercise reports and action items.</t>
  </si>
  <si>
    <t xml:space="preserve">17.8</t>
  </si>
  <si>
    <t xml:space="preserve">Conduct Post-Incident Reviews</t>
  </si>
  <si>
    <t xml:space="preserve">Defender XDR / Sentinel incident timeline &amp; classification; Security Copilot incident reports</t>
  </si>
  <si>
    <t xml:space="preserve">Hold post-incident reviews identifying lessons learned and follow-up actions; feed into analytics tuning (13.11) and controls.</t>
  </si>
  <si>
    <t xml:space="preserve">Post-incident review records.</t>
  </si>
  <si>
    <t xml:space="preserve">IR-6</t>
  </si>
  <si>
    <t xml:space="preserve">17.9</t>
  </si>
  <si>
    <t xml:space="preserve">Establish and Maintain Security Incident Thresholds</t>
  </si>
  <si>
    <t xml:space="preserve">Sentinel incident severity, automation rules &amp; classification; Defender XDR severity</t>
  </si>
  <si>
    <t xml:space="preserve">Define thresholds distinguishing events vs incidents (e.g. confirmed malware, account compromise, data exposure) and map to Sentinel/Defender severities and escalation automation rules. Review annually.</t>
  </si>
  <si>
    <t xml:space="preserve">Incident threshold definitions; automation rules.</t>
  </si>
  <si>
    <t xml:space="preserve">IR-3</t>
  </si>
  <si>
    <t xml:space="preserve">18.1</t>
  </si>
  <si>
    <t xml:space="preserve">Establish and Maintain a Penetration Testing Program</t>
  </si>
  <si>
    <t xml:space="preserve">Microsoft Cloud Penetration Testing Rules of Engagement; Defender Exposure Management (attack paths) to scope</t>
  </si>
  <si>
    <t xml:space="preserve">Define program scope (network, web, cloud, M365, social engineering), frequency, limitations, contacts, remediation and retest requirements. Use Exposure Management attack paths and critical asset management to prioritise scope.</t>
  </si>
  <si>
    <t xml:space="preserve">Pentest program document.</t>
  </si>
  <si>
    <t xml:space="preserve">PV-8</t>
  </si>
  <si>
    <t xml:space="preserve">18.2</t>
  </si>
  <si>
    <t xml:space="preserve">Perform Periodic External Penetration Tests</t>
  </si>
  <si>
    <t xml:space="preserve">External testers; Defender EASM for reconnaissance scope; Rules of Engagement</t>
  </si>
  <si>
    <t xml:space="preserve">Annual (minimum) external pentests including enterprise and environmental reconnaissance (use EASM outputs). Follow Microsoft Rules of Engagement for Azure/M365.</t>
  </si>
  <si>
    <t xml:space="preserve">External pentest reports.</t>
  </si>
  <si>
    <t xml:space="preserve">18.3</t>
  </si>
  <si>
    <t xml:space="preserve">Remediate Penetration Test Findings</t>
  </si>
  <si>
    <t xml:space="preserve">Defender for Cloud governance rules; DVM remediation; Azure DevOps/Boards</t>
  </si>
  <si>
    <t xml:space="preserve">Track every finding with owner and due date per risk policy; validate fixes by retest.</t>
  </si>
  <si>
    <t xml:space="preserve">Findings tracker; retest evidence.</t>
  </si>
  <si>
    <t xml:space="preserve">PV-8, PV-6</t>
  </si>
  <si>
    <t xml:space="preserve">18.4</t>
  </si>
  <si>
    <t xml:space="preserve">Validate Security Measures</t>
  </si>
  <si>
    <t xml:space="preserve">Defender XDR detections vs test activity; Sentinel; Attack simulations (MDE evaluation); Breach &amp; attack simulation tools; Defender Exposure Management</t>
  </si>
  <si>
    <t xml:space="preserve">After each pentest, verify whether Defender/Sentinel detected and blocked techniques used (MITRE ATT&amp;CK mapping) and update rule sets/configurations. Optionally run continuous breach-and-attack simulation.</t>
  </si>
  <si>
    <t xml:space="preserve">Detection coverage review per test; rule changes.</t>
  </si>
  <si>
    <t xml:space="preserve">PV-8, LT-1</t>
  </si>
  <si>
    <t xml:space="preserve">18.5</t>
  </si>
  <si>
    <t xml:space="preserve">Perform Periodic Internal Penetration Tests</t>
  </si>
  <si>
    <t xml:space="preserve">Internal/external testers; Defender for Identity (should detect AD attacks); Exposure Management attack paths; PingCastle/BloodHound-type AD assessments</t>
  </si>
  <si>
    <t xml:space="preserve">Annual (minimum) internal pentests including AD/Entra ID attack paths, lateral movement and cloud control-plane abuse. Use Exposure Management and MDI posture reports as inputs.</t>
  </si>
  <si>
    <t xml:space="preserve">Internal pentest reports.</t>
  </si>
</sst>
</file>

<file path=xl/styles.xml><?xml version="1.0" encoding="utf-8"?>
<styleSheet xmlns="http://schemas.openxmlformats.org/spreadsheetml/2006/main">
  <numFmts count="3">
    <numFmt numFmtId="164" formatCode="General"/>
    <numFmt numFmtId="165" formatCode="0%;\-0%;\-"/>
    <numFmt numFmtId="166" formatCode="yyyy\-mm\-dd"/>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1"/>
      <color rgb="FF1F3864"/>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D9E1F2"/>
        <bgColor rgb="FFE4DFEC"/>
      </patternFill>
    </fill>
    <fill>
      <patternFill patternType="solid">
        <fgColor rgb="FFBF8F00"/>
        <bgColor rgb="FF808000"/>
      </patternFill>
    </fill>
    <fill>
      <patternFill patternType="solid">
        <fgColor rgb="FFE2EFDA"/>
        <bgColor rgb="FFEDEDED"/>
      </patternFill>
    </fill>
    <fill>
      <patternFill patternType="solid">
        <fgColor rgb="FFFFF2CC"/>
        <bgColor rgb="FFEDEDED"/>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6" fontId="10" fillId="6"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BF8F00"/>
          <bgColor rgb="FF000000"/>
        </patternFill>
      </fill>
    </dxf>
    <dxf>
      <fill>
        <patternFill>
          <bgColor rgb="FFC6EFCE"/>
        </patternFill>
      </fill>
    </dxf>
    <dxf>
      <fill>
        <patternFill>
          <bgColor rgb="FFFFEB9C"/>
        </patternFill>
      </fill>
    </dxf>
    <dxf>
      <fill>
        <patternFill>
          <bgColor rgb="FFDDEBF7"/>
        </patternFill>
      </fill>
    </dxf>
    <dxf>
      <fill>
        <patternFill>
          <bgColor rgb="FFFFC7CE"/>
        </patternFill>
      </fill>
    </dxf>
    <dxf>
      <fill>
        <patternFill>
          <bgColor rgb="FFE4DFEC"/>
        </patternFill>
      </fill>
    </dxf>
    <dxf>
      <fill>
        <patternFill>
          <bgColor rgb="FFD9D9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D9E1F2"/>
      <rgbColor rgb="FFEDEDED"/>
      <rgbColor rgb="FFE4DFEC"/>
      <rgbColor rgb="FFFFC7CE"/>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3.85" hidden="false" customHeight="false" outlineLevel="0" collapsed="false">
      <c r="A7" s="2" t="s">
        <v>4</v>
      </c>
    </row>
    <row r="8" customFormat="false" ht="23.8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23.8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23.85" hidden="false" customHeight="false" outlineLevel="0" collapsed="false">
      <c r="A17" s="2" t="s">
        <v>12</v>
      </c>
    </row>
    <row r="18" customFormat="false" ht="23.85" hidden="false" customHeight="false" outlineLevel="0" collapsed="false">
      <c r="A18" s="2" t="s">
        <v>13</v>
      </c>
    </row>
    <row r="19" customFormat="false" ht="23.85" hidden="false" customHeight="false" outlineLevel="0" collapsed="false">
      <c r="A19" s="2" t="s">
        <v>14</v>
      </c>
    </row>
    <row r="20" customFormat="false" ht="23.85" hidden="false" customHeight="false" outlineLevel="0" collapsed="false">
      <c r="A20"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8"/>
    <col collapsed="false" customWidth="true" hidden="false" outlineLevel="0" max="3" min="3" style="0" width="11"/>
    <col collapsed="false" customWidth="true" hidden="false" outlineLevel="0" max="5" min="4" style="0" width="7"/>
    <col collapsed="false" customWidth="true" hidden="false" outlineLevel="0" max="8" min="6" style="0" width="9"/>
    <col collapsed="false" customWidth="true" hidden="false" outlineLevel="0" max="9" min="9" style="0" width="12"/>
    <col collapsed="false" customWidth="true" hidden="false" outlineLevel="0" max="11" min="10" style="0" width="13"/>
    <col collapsed="false" customWidth="true" hidden="false" outlineLevel="0" max="12" min="12" style="0" width="12"/>
  </cols>
  <sheetData>
    <row r="1" customFormat="false" ht="17.35" hidden="false" customHeight="false" outlineLevel="0" collapsed="false">
      <c r="A1" s="4" t="s">
        <v>16</v>
      </c>
    </row>
    <row r="2" customFormat="false" ht="15" hidden="false" customHeight="false" outlineLevel="0" collapsed="false">
      <c r="A2" s="5" t="s">
        <v>17</v>
      </c>
    </row>
    <row r="4" customFormat="false" ht="30" hidden="false" customHeight="true" outlineLevel="0" collapsed="false">
      <c r="A4" s="6" t="s">
        <v>18</v>
      </c>
      <c r="B4" s="6" t="s">
        <v>19</v>
      </c>
      <c r="C4" s="6" t="s">
        <v>20</v>
      </c>
      <c r="D4" s="6" t="s">
        <v>21</v>
      </c>
      <c r="E4" s="6" t="s">
        <v>22</v>
      </c>
      <c r="F4" s="6" t="s">
        <v>23</v>
      </c>
      <c r="G4" s="6" t="s">
        <v>24</v>
      </c>
      <c r="H4" s="6" t="s">
        <v>25</v>
      </c>
      <c r="I4" s="6" t="s">
        <v>26</v>
      </c>
      <c r="J4" s="6" t="s">
        <v>27</v>
      </c>
      <c r="K4" s="6" t="s">
        <v>28</v>
      </c>
      <c r="L4" s="6" t="s">
        <v>29</v>
      </c>
    </row>
    <row r="5" customFormat="false" ht="15" hidden="false" customHeight="false" outlineLevel="0" collapsed="false">
      <c r="A5" s="7" t="n">
        <v>1</v>
      </c>
      <c r="B5" s="8" t="s">
        <v>30</v>
      </c>
      <c r="C5" s="7" t="n">
        <f aca="false">COUNTIF('CIS IG3 Mapping'!$A$2:$A$154,A5)</f>
        <v>5</v>
      </c>
      <c r="D5" s="7" t="n">
        <f aca="false">COUNTIFS('CIS IG3 Mapping'!$A$2:$A$154,A5,'CIS IG3 Mapping'!$G$2:$G$154,"✓")</f>
        <v>2</v>
      </c>
      <c r="E5" s="7" t="n">
        <f aca="false">COUNTIFS('CIS IG3 Mapping'!$A$2:$A$154,A5,'CIS IG3 Mapping'!$H$2:$H$154,"✓")</f>
        <v>4</v>
      </c>
      <c r="F5" s="7" t="n">
        <f aca="false">COUNTIFS('CIS IG3 Mapping'!$A$2:$A$154,A5,'CIS IG3 Mapping'!$J$2:$J$154,"Native")</f>
        <v>4</v>
      </c>
      <c r="G5" s="7" t="n">
        <f aca="false">COUNTIFS('CIS IG3 Mapping'!$A$2:$A$154,A5,'CIS IG3 Mapping'!$J$2:$J$154,"Partial")</f>
        <v>1</v>
      </c>
      <c r="H5" s="7" t="n">
        <f aca="false">COUNTIFS('CIS IG3 Mapping'!$A$2:$A$154,A5,'CIS IG3 Mapping'!$J$2:$J$154,"Process")</f>
        <v>0</v>
      </c>
      <c r="I5" s="7" t="n">
        <f aca="false">COUNTIFS('CIS IG3 Mapping'!$A$2:$A$154,A5,'CIS IG3 Mapping'!$P$2:$P$154,"Implemented")</f>
        <v>0</v>
      </c>
      <c r="J5" s="7" t="n">
        <f aca="false">COUNTIFS('CIS IG3 Mapping'!$A$2:$A$154,A5,'CIS IG3 Mapping'!$P$2:$P$154,"In progress")+COUNTIFS('CIS IG3 Mapping'!$A$2:$A$154,A5,'CIS IG3 Mapping'!$P$2:$P$154,"Planned")</f>
        <v>0</v>
      </c>
      <c r="K5" s="7" t="n">
        <f aca="false">COUNTIFS('CIS IG3 Mapping'!$A$2:$A$154,A5,'CIS IG3 Mapping'!$P$2:$P$154,"Not started")+COUNTIFS('CIS IG3 Mapping'!$A$2:$A$154,A5,'CIS IG3 Mapping'!$P$2:$P$154,"")</f>
        <v>5</v>
      </c>
      <c r="L5" s="9" t="n">
        <f aca="false">IF((C5-COUNTIFS('CIS IG3 Mapping'!$A$2:$A$154,A5,'CIS IG3 Mapping'!$P$2:$P$154,"Not applicable"))=0,0,I5/(C5-COUNTIFS('CIS IG3 Mapping'!$A$2:$A$154,A5,'CIS IG3 Mapping'!$P$2:$P$154,"Not applicable")))</f>
        <v>0</v>
      </c>
    </row>
    <row r="6" customFormat="false" ht="15" hidden="false" customHeight="false" outlineLevel="0" collapsed="false">
      <c r="A6" s="7" t="n">
        <v>2</v>
      </c>
      <c r="B6" s="8" t="s">
        <v>31</v>
      </c>
      <c r="C6" s="7" t="n">
        <f aca="false">COUNTIF('CIS IG3 Mapping'!$A$2:$A$154,A6)</f>
        <v>7</v>
      </c>
      <c r="D6" s="7" t="n">
        <f aca="false">COUNTIFS('CIS IG3 Mapping'!$A$2:$A$154,A6,'CIS IG3 Mapping'!$G$2:$G$154,"✓")</f>
        <v>3</v>
      </c>
      <c r="E6" s="7" t="n">
        <f aca="false">COUNTIFS('CIS IG3 Mapping'!$A$2:$A$154,A6,'CIS IG3 Mapping'!$H$2:$H$154,"✓")</f>
        <v>6</v>
      </c>
      <c r="F6" s="7" t="n">
        <f aca="false">COUNTIFS('CIS IG3 Mapping'!$A$2:$A$154,A6,'CIS IG3 Mapping'!$J$2:$J$154,"Native")</f>
        <v>7</v>
      </c>
      <c r="G6" s="7" t="n">
        <f aca="false">COUNTIFS('CIS IG3 Mapping'!$A$2:$A$154,A6,'CIS IG3 Mapping'!$J$2:$J$154,"Partial")</f>
        <v>0</v>
      </c>
      <c r="H6" s="7" t="n">
        <f aca="false">COUNTIFS('CIS IG3 Mapping'!$A$2:$A$154,A6,'CIS IG3 Mapping'!$J$2:$J$154,"Process")</f>
        <v>0</v>
      </c>
      <c r="I6" s="7" t="n">
        <f aca="false">COUNTIFS('CIS IG3 Mapping'!$A$2:$A$154,A6,'CIS IG3 Mapping'!$P$2:$P$154,"Implemented")</f>
        <v>0</v>
      </c>
      <c r="J6" s="7" t="n">
        <f aca="false">COUNTIFS('CIS IG3 Mapping'!$A$2:$A$154,A6,'CIS IG3 Mapping'!$P$2:$P$154,"In progress")+COUNTIFS('CIS IG3 Mapping'!$A$2:$A$154,A6,'CIS IG3 Mapping'!$P$2:$P$154,"Planned")</f>
        <v>0</v>
      </c>
      <c r="K6" s="7" t="n">
        <f aca="false">COUNTIFS('CIS IG3 Mapping'!$A$2:$A$154,A6,'CIS IG3 Mapping'!$P$2:$P$154,"Not started")+COUNTIFS('CIS IG3 Mapping'!$A$2:$A$154,A6,'CIS IG3 Mapping'!$P$2:$P$154,"")</f>
        <v>7</v>
      </c>
      <c r="L6" s="9" t="n">
        <f aca="false">IF((C6-COUNTIFS('CIS IG3 Mapping'!$A$2:$A$154,A6,'CIS IG3 Mapping'!$P$2:$P$154,"Not applicable"))=0,0,I6/(C6-COUNTIFS('CIS IG3 Mapping'!$A$2:$A$154,A6,'CIS IG3 Mapping'!$P$2:$P$154,"Not applicable")))</f>
        <v>0</v>
      </c>
    </row>
    <row r="7" customFormat="false" ht="15" hidden="false" customHeight="false" outlineLevel="0" collapsed="false">
      <c r="A7" s="7" t="n">
        <v>3</v>
      </c>
      <c r="B7" s="8" t="s">
        <v>32</v>
      </c>
      <c r="C7" s="7" t="n">
        <f aca="false">COUNTIF('CIS IG3 Mapping'!$A$2:$A$154,A7)</f>
        <v>14</v>
      </c>
      <c r="D7" s="7" t="n">
        <f aca="false">COUNTIFS('CIS IG3 Mapping'!$A$2:$A$154,A7,'CIS IG3 Mapping'!$G$2:$G$154,"✓")</f>
        <v>6</v>
      </c>
      <c r="E7" s="7" t="n">
        <f aca="false">COUNTIFS('CIS IG3 Mapping'!$A$2:$A$154,A7,'CIS IG3 Mapping'!$H$2:$H$154,"✓")</f>
        <v>12</v>
      </c>
      <c r="F7" s="7" t="n">
        <f aca="false">COUNTIFS('CIS IG3 Mapping'!$A$2:$A$154,A7,'CIS IG3 Mapping'!$J$2:$J$154,"Native")</f>
        <v>11</v>
      </c>
      <c r="G7" s="7" t="n">
        <f aca="false">COUNTIFS('CIS IG3 Mapping'!$A$2:$A$154,A7,'CIS IG3 Mapping'!$J$2:$J$154,"Partial")</f>
        <v>2</v>
      </c>
      <c r="H7" s="7" t="n">
        <f aca="false">COUNTIFS('CIS IG3 Mapping'!$A$2:$A$154,A7,'CIS IG3 Mapping'!$J$2:$J$154,"Process")</f>
        <v>1</v>
      </c>
      <c r="I7" s="7" t="n">
        <f aca="false">COUNTIFS('CIS IG3 Mapping'!$A$2:$A$154,A7,'CIS IG3 Mapping'!$P$2:$P$154,"Implemented")</f>
        <v>0</v>
      </c>
      <c r="J7" s="7" t="n">
        <f aca="false">COUNTIFS('CIS IG3 Mapping'!$A$2:$A$154,A7,'CIS IG3 Mapping'!$P$2:$P$154,"In progress")+COUNTIFS('CIS IG3 Mapping'!$A$2:$A$154,A7,'CIS IG3 Mapping'!$P$2:$P$154,"Planned")</f>
        <v>0</v>
      </c>
      <c r="K7" s="7" t="n">
        <f aca="false">COUNTIFS('CIS IG3 Mapping'!$A$2:$A$154,A7,'CIS IG3 Mapping'!$P$2:$P$154,"Not started")+COUNTIFS('CIS IG3 Mapping'!$A$2:$A$154,A7,'CIS IG3 Mapping'!$P$2:$P$154,"")</f>
        <v>14</v>
      </c>
      <c r="L7" s="9" t="n">
        <f aca="false">IF((C7-COUNTIFS('CIS IG3 Mapping'!$A$2:$A$154,A7,'CIS IG3 Mapping'!$P$2:$P$154,"Not applicable"))=0,0,I7/(C7-COUNTIFS('CIS IG3 Mapping'!$A$2:$A$154,A7,'CIS IG3 Mapping'!$P$2:$P$154,"Not applicable")))</f>
        <v>0</v>
      </c>
    </row>
    <row r="8" customFormat="false" ht="15" hidden="false" customHeight="false" outlineLevel="0" collapsed="false">
      <c r="A8" s="7" t="n">
        <v>4</v>
      </c>
      <c r="B8" s="8" t="s">
        <v>33</v>
      </c>
      <c r="C8" s="7" t="n">
        <f aca="false">COUNTIF('CIS IG3 Mapping'!$A$2:$A$154,A8)</f>
        <v>12</v>
      </c>
      <c r="D8" s="7" t="n">
        <f aca="false">COUNTIFS('CIS IG3 Mapping'!$A$2:$A$154,A8,'CIS IG3 Mapping'!$G$2:$G$154,"✓")</f>
        <v>7</v>
      </c>
      <c r="E8" s="7" t="n">
        <f aca="false">COUNTIFS('CIS IG3 Mapping'!$A$2:$A$154,A8,'CIS IG3 Mapping'!$H$2:$H$154,"✓")</f>
        <v>11</v>
      </c>
      <c r="F8" s="7" t="n">
        <f aca="false">COUNTIFS('CIS IG3 Mapping'!$A$2:$A$154,A8,'CIS IG3 Mapping'!$J$2:$J$154,"Native")</f>
        <v>11</v>
      </c>
      <c r="G8" s="7" t="n">
        <f aca="false">COUNTIFS('CIS IG3 Mapping'!$A$2:$A$154,A8,'CIS IG3 Mapping'!$J$2:$J$154,"Partial")</f>
        <v>1</v>
      </c>
      <c r="H8" s="7" t="n">
        <f aca="false">COUNTIFS('CIS IG3 Mapping'!$A$2:$A$154,A8,'CIS IG3 Mapping'!$J$2:$J$154,"Process")</f>
        <v>0</v>
      </c>
      <c r="I8" s="7" t="n">
        <f aca="false">COUNTIFS('CIS IG3 Mapping'!$A$2:$A$154,A8,'CIS IG3 Mapping'!$P$2:$P$154,"Implemented")</f>
        <v>0</v>
      </c>
      <c r="J8" s="7" t="n">
        <f aca="false">COUNTIFS('CIS IG3 Mapping'!$A$2:$A$154,A8,'CIS IG3 Mapping'!$P$2:$P$154,"In progress")+COUNTIFS('CIS IG3 Mapping'!$A$2:$A$154,A8,'CIS IG3 Mapping'!$P$2:$P$154,"Planned")</f>
        <v>0</v>
      </c>
      <c r="K8" s="7" t="n">
        <f aca="false">COUNTIFS('CIS IG3 Mapping'!$A$2:$A$154,A8,'CIS IG3 Mapping'!$P$2:$P$154,"Not started")+COUNTIFS('CIS IG3 Mapping'!$A$2:$A$154,A8,'CIS IG3 Mapping'!$P$2:$P$154,"")</f>
        <v>12</v>
      </c>
      <c r="L8" s="9" t="n">
        <f aca="false">IF((C8-COUNTIFS('CIS IG3 Mapping'!$A$2:$A$154,A8,'CIS IG3 Mapping'!$P$2:$P$154,"Not applicable"))=0,0,I8/(C8-COUNTIFS('CIS IG3 Mapping'!$A$2:$A$154,A8,'CIS IG3 Mapping'!$P$2:$P$154,"Not applicable")))</f>
        <v>0</v>
      </c>
    </row>
    <row r="9" customFormat="false" ht="15" hidden="false" customHeight="false" outlineLevel="0" collapsed="false">
      <c r="A9" s="7" t="n">
        <v>5</v>
      </c>
      <c r="B9" s="8" t="s">
        <v>34</v>
      </c>
      <c r="C9" s="7" t="n">
        <f aca="false">COUNTIF('CIS IG3 Mapping'!$A$2:$A$154,A9)</f>
        <v>6</v>
      </c>
      <c r="D9" s="7" t="n">
        <f aca="false">COUNTIFS('CIS IG3 Mapping'!$A$2:$A$154,A9,'CIS IG3 Mapping'!$G$2:$G$154,"✓")</f>
        <v>4</v>
      </c>
      <c r="E9" s="7" t="n">
        <f aca="false">COUNTIFS('CIS IG3 Mapping'!$A$2:$A$154,A9,'CIS IG3 Mapping'!$H$2:$H$154,"✓")</f>
        <v>6</v>
      </c>
      <c r="F9" s="7" t="n">
        <f aca="false">COUNTIFS('CIS IG3 Mapping'!$A$2:$A$154,A9,'CIS IG3 Mapping'!$J$2:$J$154,"Native")</f>
        <v>6</v>
      </c>
      <c r="G9" s="7" t="n">
        <f aca="false">COUNTIFS('CIS IG3 Mapping'!$A$2:$A$154,A9,'CIS IG3 Mapping'!$J$2:$J$154,"Partial")</f>
        <v>0</v>
      </c>
      <c r="H9" s="7" t="n">
        <f aca="false">COUNTIFS('CIS IG3 Mapping'!$A$2:$A$154,A9,'CIS IG3 Mapping'!$J$2:$J$154,"Process")</f>
        <v>0</v>
      </c>
      <c r="I9" s="7" t="n">
        <f aca="false">COUNTIFS('CIS IG3 Mapping'!$A$2:$A$154,A9,'CIS IG3 Mapping'!$P$2:$P$154,"Implemented")</f>
        <v>0</v>
      </c>
      <c r="J9" s="7" t="n">
        <f aca="false">COUNTIFS('CIS IG3 Mapping'!$A$2:$A$154,A9,'CIS IG3 Mapping'!$P$2:$P$154,"In progress")+COUNTIFS('CIS IG3 Mapping'!$A$2:$A$154,A9,'CIS IG3 Mapping'!$P$2:$P$154,"Planned")</f>
        <v>0</v>
      </c>
      <c r="K9" s="7" t="n">
        <f aca="false">COUNTIFS('CIS IG3 Mapping'!$A$2:$A$154,A9,'CIS IG3 Mapping'!$P$2:$P$154,"Not started")+COUNTIFS('CIS IG3 Mapping'!$A$2:$A$154,A9,'CIS IG3 Mapping'!$P$2:$P$154,"")</f>
        <v>6</v>
      </c>
      <c r="L9" s="9" t="n">
        <f aca="false">IF((C9-COUNTIFS('CIS IG3 Mapping'!$A$2:$A$154,A9,'CIS IG3 Mapping'!$P$2:$P$154,"Not applicable"))=0,0,I9/(C9-COUNTIFS('CIS IG3 Mapping'!$A$2:$A$154,A9,'CIS IG3 Mapping'!$P$2:$P$154,"Not applicable")))</f>
        <v>0</v>
      </c>
    </row>
    <row r="10" customFormat="false" ht="15" hidden="false" customHeight="false" outlineLevel="0" collapsed="false">
      <c r="A10" s="7" t="n">
        <v>6</v>
      </c>
      <c r="B10" s="8" t="s">
        <v>35</v>
      </c>
      <c r="C10" s="7" t="n">
        <f aca="false">COUNTIF('CIS IG3 Mapping'!$A$2:$A$154,A10)</f>
        <v>8</v>
      </c>
      <c r="D10" s="7" t="n">
        <f aca="false">COUNTIFS('CIS IG3 Mapping'!$A$2:$A$154,A10,'CIS IG3 Mapping'!$G$2:$G$154,"✓")</f>
        <v>5</v>
      </c>
      <c r="E10" s="7" t="n">
        <f aca="false">COUNTIFS('CIS IG3 Mapping'!$A$2:$A$154,A10,'CIS IG3 Mapping'!$H$2:$H$154,"✓")</f>
        <v>7</v>
      </c>
      <c r="F10" s="7" t="n">
        <f aca="false">COUNTIFS('CIS IG3 Mapping'!$A$2:$A$154,A10,'CIS IG3 Mapping'!$J$2:$J$154,"Native")</f>
        <v>7</v>
      </c>
      <c r="G10" s="7" t="n">
        <f aca="false">COUNTIFS('CIS IG3 Mapping'!$A$2:$A$154,A10,'CIS IG3 Mapping'!$J$2:$J$154,"Partial")</f>
        <v>1</v>
      </c>
      <c r="H10" s="7" t="n">
        <f aca="false">COUNTIFS('CIS IG3 Mapping'!$A$2:$A$154,A10,'CIS IG3 Mapping'!$J$2:$J$154,"Process")</f>
        <v>0</v>
      </c>
      <c r="I10" s="7" t="n">
        <f aca="false">COUNTIFS('CIS IG3 Mapping'!$A$2:$A$154,A10,'CIS IG3 Mapping'!$P$2:$P$154,"Implemented")</f>
        <v>0</v>
      </c>
      <c r="J10" s="7" t="n">
        <f aca="false">COUNTIFS('CIS IG3 Mapping'!$A$2:$A$154,A10,'CIS IG3 Mapping'!$P$2:$P$154,"In progress")+COUNTIFS('CIS IG3 Mapping'!$A$2:$A$154,A10,'CIS IG3 Mapping'!$P$2:$P$154,"Planned")</f>
        <v>0</v>
      </c>
      <c r="K10" s="7" t="n">
        <f aca="false">COUNTIFS('CIS IG3 Mapping'!$A$2:$A$154,A10,'CIS IG3 Mapping'!$P$2:$P$154,"Not started")+COUNTIFS('CIS IG3 Mapping'!$A$2:$A$154,A10,'CIS IG3 Mapping'!$P$2:$P$154,"")</f>
        <v>8</v>
      </c>
      <c r="L10" s="9" t="n">
        <f aca="false">IF((C10-COUNTIFS('CIS IG3 Mapping'!$A$2:$A$154,A10,'CIS IG3 Mapping'!$P$2:$P$154,"Not applicable"))=0,0,I10/(C10-COUNTIFS('CIS IG3 Mapping'!$A$2:$A$154,A10,'CIS IG3 Mapping'!$P$2:$P$154,"Not applicable")))</f>
        <v>0</v>
      </c>
    </row>
    <row r="11" customFormat="false" ht="15" hidden="false" customHeight="false" outlineLevel="0" collapsed="false">
      <c r="A11" s="7" t="n">
        <v>7</v>
      </c>
      <c r="B11" s="8" t="s">
        <v>36</v>
      </c>
      <c r="C11" s="7" t="n">
        <f aca="false">COUNTIF('CIS IG3 Mapping'!$A$2:$A$154,A11)</f>
        <v>7</v>
      </c>
      <c r="D11" s="7" t="n">
        <f aca="false">COUNTIFS('CIS IG3 Mapping'!$A$2:$A$154,A11,'CIS IG3 Mapping'!$G$2:$G$154,"✓")</f>
        <v>4</v>
      </c>
      <c r="E11" s="7" t="n">
        <f aca="false">COUNTIFS('CIS IG3 Mapping'!$A$2:$A$154,A11,'CIS IG3 Mapping'!$H$2:$H$154,"✓")</f>
        <v>7</v>
      </c>
      <c r="F11" s="7" t="n">
        <f aca="false">COUNTIFS('CIS IG3 Mapping'!$A$2:$A$154,A11,'CIS IG3 Mapping'!$J$2:$J$154,"Native")</f>
        <v>5</v>
      </c>
      <c r="G11" s="7" t="n">
        <f aca="false">COUNTIFS('CIS IG3 Mapping'!$A$2:$A$154,A11,'CIS IG3 Mapping'!$J$2:$J$154,"Partial")</f>
        <v>1</v>
      </c>
      <c r="H11" s="7" t="n">
        <f aca="false">COUNTIFS('CIS IG3 Mapping'!$A$2:$A$154,A11,'CIS IG3 Mapping'!$J$2:$J$154,"Process")</f>
        <v>1</v>
      </c>
      <c r="I11" s="7" t="n">
        <f aca="false">COUNTIFS('CIS IG3 Mapping'!$A$2:$A$154,A11,'CIS IG3 Mapping'!$P$2:$P$154,"Implemented")</f>
        <v>0</v>
      </c>
      <c r="J11" s="7" t="n">
        <f aca="false">COUNTIFS('CIS IG3 Mapping'!$A$2:$A$154,A11,'CIS IG3 Mapping'!$P$2:$P$154,"In progress")+COUNTIFS('CIS IG3 Mapping'!$A$2:$A$154,A11,'CIS IG3 Mapping'!$P$2:$P$154,"Planned")</f>
        <v>0</v>
      </c>
      <c r="K11" s="7" t="n">
        <f aca="false">COUNTIFS('CIS IG3 Mapping'!$A$2:$A$154,A11,'CIS IG3 Mapping'!$P$2:$P$154,"Not started")+COUNTIFS('CIS IG3 Mapping'!$A$2:$A$154,A11,'CIS IG3 Mapping'!$P$2:$P$154,"")</f>
        <v>7</v>
      </c>
      <c r="L11" s="9" t="n">
        <f aca="false">IF((C11-COUNTIFS('CIS IG3 Mapping'!$A$2:$A$154,A11,'CIS IG3 Mapping'!$P$2:$P$154,"Not applicable"))=0,0,I11/(C11-COUNTIFS('CIS IG3 Mapping'!$A$2:$A$154,A11,'CIS IG3 Mapping'!$P$2:$P$154,"Not applicable")))</f>
        <v>0</v>
      </c>
    </row>
    <row r="12" customFormat="false" ht="15" hidden="false" customHeight="false" outlineLevel="0" collapsed="false">
      <c r="A12" s="7" t="n">
        <v>8</v>
      </c>
      <c r="B12" s="8" t="s">
        <v>37</v>
      </c>
      <c r="C12" s="7" t="n">
        <f aca="false">COUNTIF('CIS IG3 Mapping'!$A$2:$A$154,A12)</f>
        <v>12</v>
      </c>
      <c r="D12" s="7" t="n">
        <f aca="false">COUNTIFS('CIS IG3 Mapping'!$A$2:$A$154,A12,'CIS IG3 Mapping'!$G$2:$G$154,"✓")</f>
        <v>3</v>
      </c>
      <c r="E12" s="7" t="n">
        <f aca="false">COUNTIFS('CIS IG3 Mapping'!$A$2:$A$154,A12,'CIS IG3 Mapping'!$H$2:$H$154,"✓")</f>
        <v>11</v>
      </c>
      <c r="F12" s="7" t="n">
        <f aca="false">COUNTIFS('CIS IG3 Mapping'!$A$2:$A$154,A12,'CIS IG3 Mapping'!$J$2:$J$154,"Native")</f>
        <v>11</v>
      </c>
      <c r="G12" s="7" t="n">
        <f aca="false">COUNTIFS('CIS IG3 Mapping'!$A$2:$A$154,A12,'CIS IG3 Mapping'!$J$2:$J$154,"Partial")</f>
        <v>0</v>
      </c>
      <c r="H12" s="7" t="n">
        <f aca="false">COUNTIFS('CIS IG3 Mapping'!$A$2:$A$154,A12,'CIS IG3 Mapping'!$J$2:$J$154,"Process")</f>
        <v>1</v>
      </c>
      <c r="I12" s="7" t="n">
        <f aca="false">COUNTIFS('CIS IG3 Mapping'!$A$2:$A$154,A12,'CIS IG3 Mapping'!$P$2:$P$154,"Implemented")</f>
        <v>0</v>
      </c>
      <c r="J12" s="7" t="n">
        <f aca="false">COUNTIFS('CIS IG3 Mapping'!$A$2:$A$154,A12,'CIS IG3 Mapping'!$P$2:$P$154,"In progress")+COUNTIFS('CIS IG3 Mapping'!$A$2:$A$154,A12,'CIS IG3 Mapping'!$P$2:$P$154,"Planned")</f>
        <v>0</v>
      </c>
      <c r="K12" s="7" t="n">
        <f aca="false">COUNTIFS('CIS IG3 Mapping'!$A$2:$A$154,A12,'CIS IG3 Mapping'!$P$2:$P$154,"Not started")+COUNTIFS('CIS IG3 Mapping'!$A$2:$A$154,A12,'CIS IG3 Mapping'!$P$2:$P$154,"")</f>
        <v>12</v>
      </c>
      <c r="L12" s="9" t="n">
        <f aca="false">IF((C12-COUNTIFS('CIS IG3 Mapping'!$A$2:$A$154,A12,'CIS IG3 Mapping'!$P$2:$P$154,"Not applicable"))=0,0,I12/(C12-COUNTIFS('CIS IG3 Mapping'!$A$2:$A$154,A12,'CIS IG3 Mapping'!$P$2:$P$154,"Not applicable")))</f>
        <v>0</v>
      </c>
    </row>
    <row r="13" customFormat="false" ht="15" hidden="false" customHeight="false" outlineLevel="0" collapsed="false">
      <c r="A13" s="7" t="n">
        <v>9</v>
      </c>
      <c r="B13" s="8" t="s">
        <v>38</v>
      </c>
      <c r="C13" s="7" t="n">
        <f aca="false">COUNTIF('CIS IG3 Mapping'!$A$2:$A$154,A13)</f>
        <v>7</v>
      </c>
      <c r="D13" s="7" t="n">
        <f aca="false">COUNTIFS('CIS IG3 Mapping'!$A$2:$A$154,A13,'CIS IG3 Mapping'!$G$2:$G$154,"✓")</f>
        <v>2</v>
      </c>
      <c r="E13" s="7" t="n">
        <f aca="false">COUNTIFS('CIS IG3 Mapping'!$A$2:$A$154,A13,'CIS IG3 Mapping'!$H$2:$H$154,"✓")</f>
        <v>6</v>
      </c>
      <c r="F13" s="7" t="n">
        <f aca="false">COUNTIFS('CIS IG3 Mapping'!$A$2:$A$154,A13,'CIS IG3 Mapping'!$J$2:$J$154,"Native")</f>
        <v>7</v>
      </c>
      <c r="G13" s="7" t="n">
        <f aca="false">COUNTIFS('CIS IG3 Mapping'!$A$2:$A$154,A13,'CIS IG3 Mapping'!$J$2:$J$154,"Partial")</f>
        <v>0</v>
      </c>
      <c r="H13" s="7" t="n">
        <f aca="false">COUNTIFS('CIS IG3 Mapping'!$A$2:$A$154,A13,'CIS IG3 Mapping'!$J$2:$J$154,"Process")</f>
        <v>0</v>
      </c>
      <c r="I13" s="7" t="n">
        <f aca="false">COUNTIFS('CIS IG3 Mapping'!$A$2:$A$154,A13,'CIS IG3 Mapping'!$P$2:$P$154,"Implemented")</f>
        <v>0</v>
      </c>
      <c r="J13" s="7" t="n">
        <f aca="false">COUNTIFS('CIS IG3 Mapping'!$A$2:$A$154,A13,'CIS IG3 Mapping'!$P$2:$P$154,"In progress")+COUNTIFS('CIS IG3 Mapping'!$A$2:$A$154,A13,'CIS IG3 Mapping'!$P$2:$P$154,"Planned")</f>
        <v>0</v>
      </c>
      <c r="K13" s="7" t="n">
        <f aca="false">COUNTIFS('CIS IG3 Mapping'!$A$2:$A$154,A13,'CIS IG3 Mapping'!$P$2:$P$154,"Not started")+COUNTIFS('CIS IG3 Mapping'!$A$2:$A$154,A13,'CIS IG3 Mapping'!$P$2:$P$154,"")</f>
        <v>7</v>
      </c>
      <c r="L13" s="9" t="n">
        <f aca="false">IF((C13-COUNTIFS('CIS IG3 Mapping'!$A$2:$A$154,A13,'CIS IG3 Mapping'!$P$2:$P$154,"Not applicable"))=0,0,I13/(C13-COUNTIFS('CIS IG3 Mapping'!$A$2:$A$154,A13,'CIS IG3 Mapping'!$P$2:$P$154,"Not applicable")))</f>
        <v>0</v>
      </c>
    </row>
    <row r="14" customFormat="false" ht="15" hidden="false" customHeight="false" outlineLevel="0" collapsed="false">
      <c r="A14" s="7" t="n">
        <v>10</v>
      </c>
      <c r="B14" s="8" t="s">
        <v>39</v>
      </c>
      <c r="C14" s="7" t="n">
        <f aca="false">COUNTIF('CIS IG3 Mapping'!$A$2:$A$154,A14)</f>
        <v>7</v>
      </c>
      <c r="D14" s="7" t="n">
        <f aca="false">COUNTIFS('CIS IG3 Mapping'!$A$2:$A$154,A14,'CIS IG3 Mapping'!$G$2:$G$154,"✓")</f>
        <v>3</v>
      </c>
      <c r="E14" s="7" t="n">
        <f aca="false">COUNTIFS('CIS IG3 Mapping'!$A$2:$A$154,A14,'CIS IG3 Mapping'!$H$2:$H$154,"✓")</f>
        <v>7</v>
      </c>
      <c r="F14" s="7" t="n">
        <f aca="false">COUNTIFS('CIS IG3 Mapping'!$A$2:$A$154,A14,'CIS IG3 Mapping'!$J$2:$J$154,"Native")</f>
        <v>7</v>
      </c>
      <c r="G14" s="7" t="n">
        <f aca="false">COUNTIFS('CIS IG3 Mapping'!$A$2:$A$154,A14,'CIS IG3 Mapping'!$J$2:$J$154,"Partial")</f>
        <v>0</v>
      </c>
      <c r="H14" s="7" t="n">
        <f aca="false">COUNTIFS('CIS IG3 Mapping'!$A$2:$A$154,A14,'CIS IG3 Mapping'!$J$2:$J$154,"Process")</f>
        <v>0</v>
      </c>
      <c r="I14" s="7" t="n">
        <f aca="false">COUNTIFS('CIS IG3 Mapping'!$A$2:$A$154,A14,'CIS IG3 Mapping'!$P$2:$P$154,"Implemented")</f>
        <v>0</v>
      </c>
      <c r="J14" s="7" t="n">
        <f aca="false">COUNTIFS('CIS IG3 Mapping'!$A$2:$A$154,A14,'CIS IG3 Mapping'!$P$2:$P$154,"In progress")+COUNTIFS('CIS IG3 Mapping'!$A$2:$A$154,A14,'CIS IG3 Mapping'!$P$2:$P$154,"Planned")</f>
        <v>0</v>
      </c>
      <c r="K14" s="7" t="n">
        <f aca="false">COUNTIFS('CIS IG3 Mapping'!$A$2:$A$154,A14,'CIS IG3 Mapping'!$P$2:$P$154,"Not started")+COUNTIFS('CIS IG3 Mapping'!$A$2:$A$154,A14,'CIS IG3 Mapping'!$P$2:$P$154,"")</f>
        <v>7</v>
      </c>
      <c r="L14" s="9" t="n">
        <f aca="false">IF((C14-COUNTIFS('CIS IG3 Mapping'!$A$2:$A$154,A14,'CIS IG3 Mapping'!$P$2:$P$154,"Not applicable"))=0,0,I14/(C14-COUNTIFS('CIS IG3 Mapping'!$A$2:$A$154,A14,'CIS IG3 Mapping'!$P$2:$P$154,"Not applicable")))</f>
        <v>0</v>
      </c>
    </row>
    <row r="15" customFormat="false" ht="15" hidden="false" customHeight="false" outlineLevel="0" collapsed="false">
      <c r="A15" s="7" t="n">
        <v>11</v>
      </c>
      <c r="B15" s="8" t="s">
        <v>40</v>
      </c>
      <c r="C15" s="7" t="n">
        <f aca="false">COUNTIF('CIS IG3 Mapping'!$A$2:$A$154,A15)</f>
        <v>5</v>
      </c>
      <c r="D15" s="7" t="n">
        <f aca="false">COUNTIFS('CIS IG3 Mapping'!$A$2:$A$154,A15,'CIS IG3 Mapping'!$G$2:$G$154,"✓")</f>
        <v>4</v>
      </c>
      <c r="E15" s="7" t="n">
        <f aca="false">COUNTIFS('CIS IG3 Mapping'!$A$2:$A$154,A15,'CIS IG3 Mapping'!$H$2:$H$154,"✓")</f>
        <v>5</v>
      </c>
      <c r="F15" s="7" t="n">
        <f aca="false">COUNTIFS('CIS IG3 Mapping'!$A$2:$A$154,A15,'CIS IG3 Mapping'!$J$2:$J$154,"Native")</f>
        <v>4</v>
      </c>
      <c r="G15" s="7" t="n">
        <f aca="false">COUNTIFS('CIS IG3 Mapping'!$A$2:$A$154,A15,'CIS IG3 Mapping'!$J$2:$J$154,"Partial")</f>
        <v>0</v>
      </c>
      <c r="H15" s="7" t="n">
        <f aca="false">COUNTIFS('CIS IG3 Mapping'!$A$2:$A$154,A15,'CIS IG3 Mapping'!$J$2:$J$154,"Process")</f>
        <v>1</v>
      </c>
      <c r="I15" s="7" t="n">
        <f aca="false">COUNTIFS('CIS IG3 Mapping'!$A$2:$A$154,A15,'CIS IG3 Mapping'!$P$2:$P$154,"Implemented")</f>
        <v>0</v>
      </c>
      <c r="J15" s="7" t="n">
        <f aca="false">COUNTIFS('CIS IG3 Mapping'!$A$2:$A$154,A15,'CIS IG3 Mapping'!$P$2:$P$154,"In progress")+COUNTIFS('CIS IG3 Mapping'!$A$2:$A$154,A15,'CIS IG3 Mapping'!$P$2:$P$154,"Planned")</f>
        <v>0</v>
      </c>
      <c r="K15" s="7" t="n">
        <f aca="false">COUNTIFS('CIS IG3 Mapping'!$A$2:$A$154,A15,'CIS IG3 Mapping'!$P$2:$P$154,"Not started")+COUNTIFS('CIS IG3 Mapping'!$A$2:$A$154,A15,'CIS IG3 Mapping'!$P$2:$P$154,"")</f>
        <v>5</v>
      </c>
      <c r="L15" s="9" t="n">
        <f aca="false">IF((C15-COUNTIFS('CIS IG3 Mapping'!$A$2:$A$154,A15,'CIS IG3 Mapping'!$P$2:$P$154,"Not applicable"))=0,0,I15/(C15-COUNTIFS('CIS IG3 Mapping'!$A$2:$A$154,A15,'CIS IG3 Mapping'!$P$2:$P$154,"Not applicable")))</f>
        <v>0</v>
      </c>
    </row>
    <row r="16" customFormat="false" ht="15" hidden="false" customHeight="false" outlineLevel="0" collapsed="false">
      <c r="A16" s="7" t="n">
        <v>12</v>
      </c>
      <c r="B16" s="8" t="s">
        <v>41</v>
      </c>
      <c r="C16" s="7" t="n">
        <f aca="false">COUNTIF('CIS IG3 Mapping'!$A$2:$A$154,A16)</f>
        <v>8</v>
      </c>
      <c r="D16" s="7" t="n">
        <f aca="false">COUNTIFS('CIS IG3 Mapping'!$A$2:$A$154,A16,'CIS IG3 Mapping'!$G$2:$G$154,"✓")</f>
        <v>1</v>
      </c>
      <c r="E16" s="7" t="n">
        <f aca="false">COUNTIFS('CIS IG3 Mapping'!$A$2:$A$154,A16,'CIS IG3 Mapping'!$H$2:$H$154,"✓")</f>
        <v>7</v>
      </c>
      <c r="F16" s="7" t="n">
        <f aca="false">COUNTIFS('CIS IG3 Mapping'!$A$2:$A$154,A16,'CIS IG3 Mapping'!$J$2:$J$154,"Native")</f>
        <v>6</v>
      </c>
      <c r="G16" s="7" t="n">
        <f aca="false">COUNTIFS('CIS IG3 Mapping'!$A$2:$A$154,A16,'CIS IG3 Mapping'!$J$2:$J$154,"Partial")</f>
        <v>2</v>
      </c>
      <c r="H16" s="7" t="n">
        <f aca="false">COUNTIFS('CIS IG3 Mapping'!$A$2:$A$154,A16,'CIS IG3 Mapping'!$J$2:$J$154,"Process")</f>
        <v>0</v>
      </c>
      <c r="I16" s="7" t="n">
        <f aca="false">COUNTIFS('CIS IG3 Mapping'!$A$2:$A$154,A16,'CIS IG3 Mapping'!$P$2:$P$154,"Implemented")</f>
        <v>0</v>
      </c>
      <c r="J16" s="7" t="n">
        <f aca="false">COUNTIFS('CIS IG3 Mapping'!$A$2:$A$154,A16,'CIS IG3 Mapping'!$P$2:$P$154,"In progress")+COUNTIFS('CIS IG3 Mapping'!$A$2:$A$154,A16,'CIS IG3 Mapping'!$P$2:$P$154,"Planned")</f>
        <v>0</v>
      </c>
      <c r="K16" s="7" t="n">
        <f aca="false">COUNTIFS('CIS IG3 Mapping'!$A$2:$A$154,A16,'CIS IG3 Mapping'!$P$2:$P$154,"Not started")+COUNTIFS('CIS IG3 Mapping'!$A$2:$A$154,A16,'CIS IG3 Mapping'!$P$2:$P$154,"")</f>
        <v>8</v>
      </c>
      <c r="L16" s="9" t="n">
        <f aca="false">IF((C16-COUNTIFS('CIS IG3 Mapping'!$A$2:$A$154,A16,'CIS IG3 Mapping'!$P$2:$P$154,"Not applicable"))=0,0,I16/(C16-COUNTIFS('CIS IG3 Mapping'!$A$2:$A$154,A16,'CIS IG3 Mapping'!$P$2:$P$154,"Not applicable")))</f>
        <v>0</v>
      </c>
    </row>
    <row r="17" customFormat="false" ht="15" hidden="false" customHeight="false" outlineLevel="0" collapsed="false">
      <c r="A17" s="7" t="n">
        <v>13</v>
      </c>
      <c r="B17" s="8" t="s">
        <v>42</v>
      </c>
      <c r="C17" s="7" t="n">
        <f aca="false">COUNTIF('CIS IG3 Mapping'!$A$2:$A$154,A17)</f>
        <v>11</v>
      </c>
      <c r="D17" s="7" t="n">
        <f aca="false">COUNTIFS('CIS IG3 Mapping'!$A$2:$A$154,A17,'CIS IG3 Mapping'!$G$2:$G$154,"✓")</f>
        <v>0</v>
      </c>
      <c r="E17" s="7" t="n">
        <f aca="false">COUNTIFS('CIS IG3 Mapping'!$A$2:$A$154,A17,'CIS IG3 Mapping'!$H$2:$H$154,"✓")</f>
        <v>6</v>
      </c>
      <c r="F17" s="7" t="n">
        <f aca="false">COUNTIFS('CIS IG3 Mapping'!$A$2:$A$154,A17,'CIS IG3 Mapping'!$J$2:$J$154,"Native")</f>
        <v>10</v>
      </c>
      <c r="G17" s="7" t="n">
        <f aca="false">COUNTIFS('CIS IG3 Mapping'!$A$2:$A$154,A17,'CIS IG3 Mapping'!$J$2:$J$154,"Partial")</f>
        <v>1</v>
      </c>
      <c r="H17" s="7" t="n">
        <f aca="false">COUNTIFS('CIS IG3 Mapping'!$A$2:$A$154,A17,'CIS IG3 Mapping'!$J$2:$J$154,"Process")</f>
        <v>0</v>
      </c>
      <c r="I17" s="7" t="n">
        <f aca="false">COUNTIFS('CIS IG3 Mapping'!$A$2:$A$154,A17,'CIS IG3 Mapping'!$P$2:$P$154,"Implemented")</f>
        <v>0</v>
      </c>
      <c r="J17" s="7" t="n">
        <f aca="false">COUNTIFS('CIS IG3 Mapping'!$A$2:$A$154,A17,'CIS IG3 Mapping'!$P$2:$P$154,"In progress")+COUNTIFS('CIS IG3 Mapping'!$A$2:$A$154,A17,'CIS IG3 Mapping'!$P$2:$P$154,"Planned")</f>
        <v>0</v>
      </c>
      <c r="K17" s="7" t="n">
        <f aca="false">COUNTIFS('CIS IG3 Mapping'!$A$2:$A$154,A17,'CIS IG3 Mapping'!$P$2:$P$154,"Not started")+COUNTIFS('CIS IG3 Mapping'!$A$2:$A$154,A17,'CIS IG3 Mapping'!$P$2:$P$154,"")</f>
        <v>11</v>
      </c>
      <c r="L17" s="9" t="n">
        <f aca="false">IF((C17-COUNTIFS('CIS IG3 Mapping'!$A$2:$A$154,A17,'CIS IG3 Mapping'!$P$2:$P$154,"Not applicable"))=0,0,I17/(C17-COUNTIFS('CIS IG3 Mapping'!$A$2:$A$154,A17,'CIS IG3 Mapping'!$P$2:$P$154,"Not applicable")))</f>
        <v>0</v>
      </c>
    </row>
    <row r="18" customFormat="false" ht="15" hidden="false" customHeight="false" outlineLevel="0" collapsed="false">
      <c r="A18" s="7" t="n">
        <v>14</v>
      </c>
      <c r="B18" s="8" t="s">
        <v>43</v>
      </c>
      <c r="C18" s="7" t="n">
        <f aca="false">COUNTIF('CIS IG3 Mapping'!$A$2:$A$154,A18)</f>
        <v>9</v>
      </c>
      <c r="D18" s="7" t="n">
        <f aca="false">COUNTIFS('CIS IG3 Mapping'!$A$2:$A$154,A18,'CIS IG3 Mapping'!$G$2:$G$154,"✓")</f>
        <v>8</v>
      </c>
      <c r="E18" s="7" t="n">
        <f aca="false">COUNTIFS('CIS IG3 Mapping'!$A$2:$A$154,A18,'CIS IG3 Mapping'!$H$2:$H$154,"✓")</f>
        <v>9</v>
      </c>
      <c r="F18" s="7" t="n">
        <f aca="false">COUNTIFS('CIS IG3 Mapping'!$A$2:$A$154,A18,'CIS IG3 Mapping'!$J$2:$J$154,"Native")</f>
        <v>1</v>
      </c>
      <c r="G18" s="7" t="n">
        <f aca="false">COUNTIFS('CIS IG3 Mapping'!$A$2:$A$154,A18,'CIS IG3 Mapping'!$J$2:$J$154,"Partial")</f>
        <v>7</v>
      </c>
      <c r="H18" s="7" t="n">
        <f aca="false">COUNTIFS('CIS IG3 Mapping'!$A$2:$A$154,A18,'CIS IG3 Mapping'!$J$2:$J$154,"Process")</f>
        <v>1</v>
      </c>
      <c r="I18" s="7" t="n">
        <f aca="false">COUNTIFS('CIS IG3 Mapping'!$A$2:$A$154,A18,'CIS IG3 Mapping'!$P$2:$P$154,"Implemented")</f>
        <v>0</v>
      </c>
      <c r="J18" s="7" t="n">
        <f aca="false">COUNTIFS('CIS IG3 Mapping'!$A$2:$A$154,A18,'CIS IG3 Mapping'!$P$2:$P$154,"In progress")+COUNTIFS('CIS IG3 Mapping'!$A$2:$A$154,A18,'CIS IG3 Mapping'!$P$2:$P$154,"Planned")</f>
        <v>0</v>
      </c>
      <c r="K18" s="7" t="n">
        <f aca="false">COUNTIFS('CIS IG3 Mapping'!$A$2:$A$154,A18,'CIS IG3 Mapping'!$P$2:$P$154,"Not started")+COUNTIFS('CIS IG3 Mapping'!$A$2:$A$154,A18,'CIS IG3 Mapping'!$P$2:$P$154,"")</f>
        <v>9</v>
      </c>
      <c r="L18" s="9" t="n">
        <f aca="false">IF((C18-COUNTIFS('CIS IG3 Mapping'!$A$2:$A$154,A18,'CIS IG3 Mapping'!$P$2:$P$154,"Not applicable"))=0,0,I18/(C18-COUNTIFS('CIS IG3 Mapping'!$A$2:$A$154,A18,'CIS IG3 Mapping'!$P$2:$P$154,"Not applicable")))</f>
        <v>0</v>
      </c>
    </row>
    <row r="19" customFormat="false" ht="15" hidden="false" customHeight="false" outlineLevel="0" collapsed="false">
      <c r="A19" s="7" t="n">
        <v>15</v>
      </c>
      <c r="B19" s="8" t="s">
        <v>44</v>
      </c>
      <c r="C19" s="7" t="n">
        <f aca="false">COUNTIF('CIS IG3 Mapping'!$A$2:$A$154,A19)</f>
        <v>7</v>
      </c>
      <c r="D19" s="7" t="n">
        <f aca="false">COUNTIFS('CIS IG3 Mapping'!$A$2:$A$154,A19,'CIS IG3 Mapping'!$G$2:$G$154,"✓")</f>
        <v>1</v>
      </c>
      <c r="E19" s="7" t="n">
        <f aca="false">COUNTIFS('CIS IG3 Mapping'!$A$2:$A$154,A19,'CIS IG3 Mapping'!$H$2:$H$154,"✓")</f>
        <v>4</v>
      </c>
      <c r="F19" s="7" t="n">
        <f aca="false">COUNTIFS('CIS IG3 Mapping'!$A$2:$A$154,A19,'CIS IG3 Mapping'!$J$2:$J$154,"Native")</f>
        <v>1</v>
      </c>
      <c r="G19" s="7" t="n">
        <f aca="false">COUNTIFS('CIS IG3 Mapping'!$A$2:$A$154,A19,'CIS IG3 Mapping'!$J$2:$J$154,"Partial")</f>
        <v>4</v>
      </c>
      <c r="H19" s="7" t="n">
        <f aca="false">COUNTIFS('CIS IG3 Mapping'!$A$2:$A$154,A19,'CIS IG3 Mapping'!$J$2:$J$154,"Process")</f>
        <v>2</v>
      </c>
      <c r="I19" s="7" t="n">
        <f aca="false">COUNTIFS('CIS IG3 Mapping'!$A$2:$A$154,A19,'CIS IG3 Mapping'!$P$2:$P$154,"Implemented")</f>
        <v>0</v>
      </c>
      <c r="J19" s="7" t="n">
        <f aca="false">COUNTIFS('CIS IG3 Mapping'!$A$2:$A$154,A19,'CIS IG3 Mapping'!$P$2:$P$154,"In progress")+COUNTIFS('CIS IG3 Mapping'!$A$2:$A$154,A19,'CIS IG3 Mapping'!$P$2:$P$154,"Planned")</f>
        <v>0</v>
      </c>
      <c r="K19" s="7" t="n">
        <f aca="false">COUNTIFS('CIS IG3 Mapping'!$A$2:$A$154,A19,'CIS IG3 Mapping'!$P$2:$P$154,"Not started")+COUNTIFS('CIS IG3 Mapping'!$A$2:$A$154,A19,'CIS IG3 Mapping'!$P$2:$P$154,"")</f>
        <v>7</v>
      </c>
      <c r="L19" s="9" t="n">
        <f aca="false">IF((C19-COUNTIFS('CIS IG3 Mapping'!$A$2:$A$154,A19,'CIS IG3 Mapping'!$P$2:$P$154,"Not applicable"))=0,0,I19/(C19-COUNTIFS('CIS IG3 Mapping'!$A$2:$A$154,A19,'CIS IG3 Mapping'!$P$2:$P$154,"Not applicable")))</f>
        <v>0</v>
      </c>
    </row>
    <row r="20" customFormat="false" ht="15" hidden="false" customHeight="false" outlineLevel="0" collapsed="false">
      <c r="A20" s="7" t="n">
        <v>16</v>
      </c>
      <c r="B20" s="8" t="s">
        <v>45</v>
      </c>
      <c r="C20" s="7" t="n">
        <f aca="false">COUNTIF('CIS IG3 Mapping'!$A$2:$A$154,A20)</f>
        <v>14</v>
      </c>
      <c r="D20" s="7" t="n">
        <f aca="false">COUNTIFS('CIS IG3 Mapping'!$A$2:$A$154,A20,'CIS IG3 Mapping'!$G$2:$G$154,"✓")</f>
        <v>0</v>
      </c>
      <c r="E20" s="7" t="n">
        <f aca="false">COUNTIFS('CIS IG3 Mapping'!$A$2:$A$154,A20,'CIS IG3 Mapping'!$H$2:$H$154,"✓")</f>
        <v>11</v>
      </c>
      <c r="F20" s="7" t="n">
        <f aca="false">COUNTIFS('CIS IG3 Mapping'!$A$2:$A$154,A20,'CIS IG3 Mapping'!$J$2:$J$154,"Native")</f>
        <v>6</v>
      </c>
      <c r="G20" s="7" t="n">
        <f aca="false">COUNTIFS('CIS IG3 Mapping'!$A$2:$A$154,A20,'CIS IG3 Mapping'!$J$2:$J$154,"Partial")</f>
        <v>4</v>
      </c>
      <c r="H20" s="7" t="n">
        <f aca="false">COUNTIFS('CIS IG3 Mapping'!$A$2:$A$154,A20,'CIS IG3 Mapping'!$J$2:$J$154,"Process")</f>
        <v>4</v>
      </c>
      <c r="I20" s="7" t="n">
        <f aca="false">COUNTIFS('CIS IG3 Mapping'!$A$2:$A$154,A20,'CIS IG3 Mapping'!$P$2:$P$154,"Implemented")</f>
        <v>0</v>
      </c>
      <c r="J20" s="7" t="n">
        <f aca="false">COUNTIFS('CIS IG3 Mapping'!$A$2:$A$154,A20,'CIS IG3 Mapping'!$P$2:$P$154,"In progress")+COUNTIFS('CIS IG3 Mapping'!$A$2:$A$154,A20,'CIS IG3 Mapping'!$P$2:$P$154,"Planned")</f>
        <v>0</v>
      </c>
      <c r="K20" s="7" t="n">
        <f aca="false">COUNTIFS('CIS IG3 Mapping'!$A$2:$A$154,A20,'CIS IG3 Mapping'!$P$2:$P$154,"Not started")+COUNTIFS('CIS IG3 Mapping'!$A$2:$A$154,A20,'CIS IG3 Mapping'!$P$2:$P$154,"")</f>
        <v>14</v>
      </c>
      <c r="L20" s="9" t="n">
        <f aca="false">IF((C20-COUNTIFS('CIS IG3 Mapping'!$A$2:$A$154,A20,'CIS IG3 Mapping'!$P$2:$P$154,"Not applicable"))=0,0,I20/(C20-COUNTIFS('CIS IG3 Mapping'!$A$2:$A$154,A20,'CIS IG3 Mapping'!$P$2:$P$154,"Not applicable")))</f>
        <v>0</v>
      </c>
    </row>
    <row r="21" customFormat="false" ht="15" hidden="false" customHeight="false" outlineLevel="0" collapsed="false">
      <c r="A21" s="7" t="n">
        <v>17</v>
      </c>
      <c r="B21" s="8" t="s">
        <v>46</v>
      </c>
      <c r="C21" s="7" t="n">
        <f aca="false">COUNTIF('CIS IG3 Mapping'!$A$2:$A$154,A21)</f>
        <v>9</v>
      </c>
      <c r="D21" s="7" t="n">
        <f aca="false">COUNTIFS('CIS IG3 Mapping'!$A$2:$A$154,A21,'CIS IG3 Mapping'!$G$2:$G$154,"✓")</f>
        <v>3</v>
      </c>
      <c r="E21" s="7" t="n">
        <f aca="false">COUNTIFS('CIS IG3 Mapping'!$A$2:$A$154,A21,'CIS IG3 Mapping'!$H$2:$H$154,"✓")</f>
        <v>8</v>
      </c>
      <c r="F21" s="7" t="n">
        <f aca="false">COUNTIFS('CIS IG3 Mapping'!$A$2:$A$154,A21,'CIS IG3 Mapping'!$J$2:$J$154,"Native")</f>
        <v>2</v>
      </c>
      <c r="G21" s="7" t="n">
        <f aca="false">COUNTIFS('CIS IG3 Mapping'!$A$2:$A$154,A21,'CIS IG3 Mapping'!$J$2:$J$154,"Partial")</f>
        <v>3</v>
      </c>
      <c r="H21" s="7" t="n">
        <f aca="false">COUNTIFS('CIS IG3 Mapping'!$A$2:$A$154,A21,'CIS IG3 Mapping'!$J$2:$J$154,"Process")</f>
        <v>4</v>
      </c>
      <c r="I21" s="7" t="n">
        <f aca="false">COUNTIFS('CIS IG3 Mapping'!$A$2:$A$154,A21,'CIS IG3 Mapping'!$P$2:$P$154,"Implemented")</f>
        <v>0</v>
      </c>
      <c r="J21" s="7" t="n">
        <f aca="false">COUNTIFS('CIS IG3 Mapping'!$A$2:$A$154,A21,'CIS IG3 Mapping'!$P$2:$P$154,"In progress")+COUNTIFS('CIS IG3 Mapping'!$A$2:$A$154,A21,'CIS IG3 Mapping'!$P$2:$P$154,"Planned")</f>
        <v>0</v>
      </c>
      <c r="K21" s="7" t="n">
        <f aca="false">COUNTIFS('CIS IG3 Mapping'!$A$2:$A$154,A21,'CIS IG3 Mapping'!$P$2:$P$154,"Not started")+COUNTIFS('CIS IG3 Mapping'!$A$2:$A$154,A21,'CIS IG3 Mapping'!$P$2:$P$154,"")</f>
        <v>9</v>
      </c>
      <c r="L21" s="9" t="n">
        <f aca="false">IF((C21-COUNTIFS('CIS IG3 Mapping'!$A$2:$A$154,A21,'CIS IG3 Mapping'!$P$2:$P$154,"Not applicable"))=0,0,I21/(C21-COUNTIFS('CIS IG3 Mapping'!$A$2:$A$154,A21,'CIS IG3 Mapping'!$P$2:$P$154,"Not applicable")))</f>
        <v>0</v>
      </c>
    </row>
    <row r="22" customFormat="false" ht="15" hidden="false" customHeight="false" outlineLevel="0" collapsed="false">
      <c r="A22" s="7" t="n">
        <v>18</v>
      </c>
      <c r="B22" s="8" t="s">
        <v>47</v>
      </c>
      <c r="C22" s="7" t="n">
        <f aca="false">COUNTIF('CIS IG3 Mapping'!$A$2:$A$154,A22)</f>
        <v>5</v>
      </c>
      <c r="D22" s="7" t="n">
        <f aca="false">COUNTIFS('CIS IG3 Mapping'!$A$2:$A$154,A22,'CIS IG3 Mapping'!$G$2:$G$154,"✓")</f>
        <v>0</v>
      </c>
      <c r="E22" s="7" t="n">
        <f aca="false">COUNTIFS('CIS IG3 Mapping'!$A$2:$A$154,A22,'CIS IG3 Mapping'!$H$2:$H$154,"✓")</f>
        <v>3</v>
      </c>
      <c r="F22" s="7" t="n">
        <f aca="false">COUNTIFS('CIS IG3 Mapping'!$A$2:$A$154,A22,'CIS IG3 Mapping'!$J$2:$J$154,"Native")</f>
        <v>2</v>
      </c>
      <c r="G22" s="7" t="n">
        <f aca="false">COUNTIFS('CIS IG3 Mapping'!$A$2:$A$154,A22,'CIS IG3 Mapping'!$J$2:$J$154,"Partial")</f>
        <v>2</v>
      </c>
      <c r="H22" s="7" t="n">
        <f aca="false">COUNTIFS('CIS IG3 Mapping'!$A$2:$A$154,A22,'CIS IG3 Mapping'!$J$2:$J$154,"Process")</f>
        <v>1</v>
      </c>
      <c r="I22" s="7" t="n">
        <f aca="false">COUNTIFS('CIS IG3 Mapping'!$A$2:$A$154,A22,'CIS IG3 Mapping'!$P$2:$P$154,"Implemented")</f>
        <v>0</v>
      </c>
      <c r="J22" s="7" t="n">
        <f aca="false">COUNTIFS('CIS IG3 Mapping'!$A$2:$A$154,A22,'CIS IG3 Mapping'!$P$2:$P$154,"In progress")+COUNTIFS('CIS IG3 Mapping'!$A$2:$A$154,A22,'CIS IG3 Mapping'!$P$2:$P$154,"Planned")</f>
        <v>0</v>
      </c>
      <c r="K22" s="7" t="n">
        <f aca="false">COUNTIFS('CIS IG3 Mapping'!$A$2:$A$154,A22,'CIS IG3 Mapping'!$P$2:$P$154,"Not started")+COUNTIFS('CIS IG3 Mapping'!$A$2:$A$154,A22,'CIS IG3 Mapping'!$P$2:$P$154,"")</f>
        <v>5</v>
      </c>
      <c r="L22" s="9" t="n">
        <f aca="false">IF((C22-COUNTIFS('CIS IG3 Mapping'!$A$2:$A$154,A22,'CIS IG3 Mapping'!$P$2:$P$154,"Not applicable"))=0,0,I22/(C22-COUNTIFS('CIS IG3 Mapping'!$A$2:$A$154,A22,'CIS IG3 Mapping'!$P$2:$P$154,"Not applicable")))</f>
        <v>0</v>
      </c>
    </row>
    <row r="23" customFormat="false" ht="15" hidden="false" customHeight="false" outlineLevel="0" collapsed="false">
      <c r="A23" s="10"/>
      <c r="B23" s="11" t="s">
        <v>48</v>
      </c>
      <c r="C23" s="10" t="n">
        <f aca="false">SUM(C5:C22)</f>
        <v>153</v>
      </c>
      <c r="D23" s="10" t="n">
        <f aca="false">SUM(D5:D22)</f>
        <v>56</v>
      </c>
      <c r="E23" s="10" t="n">
        <f aca="false">SUM(E5:E22)</f>
        <v>130</v>
      </c>
      <c r="F23" s="10" t="n">
        <f aca="false">SUM(F5:F22)</f>
        <v>108</v>
      </c>
      <c r="G23" s="10" t="n">
        <f aca="false">SUM(G5:G22)</f>
        <v>29</v>
      </c>
      <c r="H23" s="10" t="n">
        <f aca="false">SUM(H5:H22)</f>
        <v>16</v>
      </c>
      <c r="I23" s="10" t="n">
        <f aca="false">SUM(I5:I22)</f>
        <v>0</v>
      </c>
      <c r="J23" s="10" t="n">
        <f aca="false">SUM(J5:J22)</f>
        <v>0</v>
      </c>
      <c r="K23" s="10" t="n">
        <f aca="false">SUM(K5:K22)</f>
        <v>153</v>
      </c>
      <c r="L23" s="12" t="n">
        <f aca="false">IF((C23-COUNTIF('CIS IG3 Mapping'!$P$2:$P$154,"Not applicable"))=0,0,I23/(C23-COUNTIF('CIS IG3 Mapping'!$P$2:$P$154,"Not applicable")))</f>
        <v>0</v>
      </c>
    </row>
    <row r="25" customFormat="false" ht="15" hidden="false" customHeight="false" outlineLevel="0" collapsed="false">
      <c r="A25" s="5" t="s">
        <v>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9"/>
    <col collapsed="false" customWidth="true" hidden="false" outlineLevel="0" max="4" min="4" style="0" width="34"/>
    <col collapsed="false" customWidth="true" hidden="false" outlineLevel="0" max="6" min="5" style="0" width="11"/>
    <col collapsed="false" customWidth="true" hidden="false" outlineLevel="0" max="9" min="7" style="0" width="5"/>
    <col collapsed="false" customWidth="true" hidden="false" outlineLevel="0" max="10" min="10" style="0" width="11"/>
    <col collapsed="false" customWidth="true" hidden="false" outlineLevel="0" max="11" min="11" style="0" width="40"/>
    <col collapsed="false" customWidth="true" hidden="false" outlineLevel="0" max="12" min="12" style="0" width="70"/>
    <col collapsed="false" customWidth="true" hidden="false" outlineLevel="0" max="13" min="13" style="0" width="34"/>
    <col collapsed="false" customWidth="true" hidden="false" outlineLevel="0" max="14" min="14" style="0" width="28"/>
    <col collapsed="false" customWidth="true" hidden="false" outlineLevel="0" max="15" min="15" style="0" width="11"/>
    <col collapsed="false" customWidth="true" hidden="false" outlineLevel="0" max="16" min="16" style="0" width="14"/>
    <col collapsed="false" customWidth="true" hidden="false" outlineLevel="0" max="17" min="17" style="0" width="16"/>
    <col collapsed="false" customWidth="true" hidden="false" outlineLevel="0" max="18" min="18" style="0" width="12"/>
    <col collapsed="false" customWidth="true" hidden="false" outlineLevel="0" max="19" min="19" style="0" width="30"/>
  </cols>
  <sheetData>
    <row r="1" customFormat="false" ht="31.5" hidden="false" customHeight="true" outlineLevel="0" collapsed="false">
      <c r="A1" s="6" t="s">
        <v>18</v>
      </c>
      <c r="B1" s="6" t="s">
        <v>19</v>
      </c>
      <c r="C1" s="6" t="s">
        <v>50</v>
      </c>
      <c r="D1" s="6" t="s">
        <v>51</v>
      </c>
      <c r="E1" s="6" t="s">
        <v>52</v>
      </c>
      <c r="F1" s="6" t="s">
        <v>53</v>
      </c>
      <c r="G1" s="6" t="s">
        <v>21</v>
      </c>
      <c r="H1" s="6" t="s">
        <v>22</v>
      </c>
      <c r="I1" s="6" t="s">
        <v>54</v>
      </c>
      <c r="J1" s="6" t="s">
        <v>55</v>
      </c>
      <c r="K1" s="6" t="s">
        <v>56</v>
      </c>
      <c r="L1" s="6" t="s">
        <v>57</v>
      </c>
      <c r="M1" s="6" t="s">
        <v>58</v>
      </c>
      <c r="N1" s="6" t="s">
        <v>59</v>
      </c>
      <c r="O1" s="6" t="s">
        <v>60</v>
      </c>
      <c r="P1" s="13" t="s">
        <v>61</v>
      </c>
      <c r="Q1" s="13" t="s">
        <v>62</v>
      </c>
      <c r="R1" s="13" t="s">
        <v>63</v>
      </c>
      <c r="S1" s="13" t="s">
        <v>64</v>
      </c>
    </row>
    <row r="2" customFormat="false" ht="64.15" hidden="false" customHeight="false" outlineLevel="0" collapsed="false">
      <c r="A2" s="14" t="n">
        <v>1</v>
      </c>
      <c r="B2" s="15" t="s">
        <v>30</v>
      </c>
      <c r="C2" s="14" t="s">
        <v>65</v>
      </c>
      <c r="D2" s="15" t="s">
        <v>66</v>
      </c>
      <c r="E2" s="14" t="s">
        <v>67</v>
      </c>
      <c r="F2" s="14" t="s">
        <v>68</v>
      </c>
      <c r="G2" s="14" t="s">
        <v>69</v>
      </c>
      <c r="H2" s="14" t="s">
        <v>69</v>
      </c>
      <c r="I2" s="14" t="s">
        <v>69</v>
      </c>
      <c r="J2" s="16" t="s">
        <v>23</v>
      </c>
      <c r="K2" s="15" t="s">
        <v>70</v>
      </c>
      <c r="L2" s="15" t="s">
        <v>71</v>
      </c>
      <c r="M2" s="15" t="s">
        <v>72</v>
      </c>
      <c r="N2" s="15" t="s">
        <v>73</v>
      </c>
      <c r="O2" s="14" t="s">
        <v>74</v>
      </c>
      <c r="P2" s="17"/>
      <c r="Q2" s="18"/>
      <c r="R2" s="19"/>
      <c r="S2" s="18"/>
    </row>
    <row r="3" customFormat="false" ht="53.7" hidden="false" customHeight="false" outlineLevel="0" collapsed="false">
      <c r="A3" s="14" t="n">
        <v>1</v>
      </c>
      <c r="B3" s="15" t="s">
        <v>30</v>
      </c>
      <c r="C3" s="14" t="s">
        <v>75</v>
      </c>
      <c r="D3" s="15" t="s">
        <v>76</v>
      </c>
      <c r="E3" s="14" t="s">
        <v>67</v>
      </c>
      <c r="F3" s="14" t="s">
        <v>77</v>
      </c>
      <c r="G3" s="14" t="s">
        <v>69</v>
      </c>
      <c r="H3" s="14" t="s">
        <v>69</v>
      </c>
      <c r="I3" s="14" t="s">
        <v>69</v>
      </c>
      <c r="J3" s="16" t="s">
        <v>23</v>
      </c>
      <c r="K3" s="15" t="s">
        <v>78</v>
      </c>
      <c r="L3" s="15" t="s">
        <v>79</v>
      </c>
      <c r="M3" s="15" t="s">
        <v>80</v>
      </c>
      <c r="N3" s="15" t="s">
        <v>81</v>
      </c>
      <c r="O3" s="14" t="s">
        <v>82</v>
      </c>
      <c r="P3" s="17"/>
      <c r="Q3" s="18"/>
      <c r="R3" s="19"/>
      <c r="S3" s="18"/>
    </row>
    <row r="4" customFormat="false" ht="43.25" hidden="false" customHeight="false" outlineLevel="0" collapsed="false">
      <c r="A4" s="14" t="n">
        <v>1</v>
      </c>
      <c r="B4" s="15" t="s">
        <v>30</v>
      </c>
      <c r="C4" s="14" t="s">
        <v>83</v>
      </c>
      <c r="D4" s="15" t="s">
        <v>84</v>
      </c>
      <c r="E4" s="14" t="s">
        <v>67</v>
      </c>
      <c r="F4" s="14" t="s">
        <v>85</v>
      </c>
      <c r="G4" s="14"/>
      <c r="H4" s="14" t="s">
        <v>69</v>
      </c>
      <c r="I4" s="14" t="s">
        <v>69</v>
      </c>
      <c r="J4" s="16" t="s">
        <v>23</v>
      </c>
      <c r="K4" s="15" t="s">
        <v>86</v>
      </c>
      <c r="L4" s="15" t="s">
        <v>87</v>
      </c>
      <c r="M4" s="15" t="s">
        <v>88</v>
      </c>
      <c r="N4" s="15" t="s">
        <v>89</v>
      </c>
      <c r="O4" s="14" t="s">
        <v>74</v>
      </c>
      <c r="P4" s="17"/>
      <c r="Q4" s="18"/>
      <c r="R4" s="19"/>
      <c r="S4" s="18"/>
    </row>
    <row r="5" customFormat="false" ht="53.7" hidden="false" customHeight="false" outlineLevel="0" collapsed="false">
      <c r="A5" s="14" t="n">
        <v>1</v>
      </c>
      <c r="B5" s="15" t="s">
        <v>30</v>
      </c>
      <c r="C5" s="14" t="s">
        <v>90</v>
      </c>
      <c r="D5" s="15" t="s">
        <v>91</v>
      </c>
      <c r="E5" s="14" t="s">
        <v>67</v>
      </c>
      <c r="F5" s="14" t="s">
        <v>68</v>
      </c>
      <c r="G5" s="14"/>
      <c r="H5" s="14" t="s">
        <v>69</v>
      </c>
      <c r="I5" s="14" t="s">
        <v>69</v>
      </c>
      <c r="J5" s="17" t="s">
        <v>24</v>
      </c>
      <c r="K5" s="15" t="s">
        <v>92</v>
      </c>
      <c r="L5" s="15" t="s">
        <v>93</v>
      </c>
      <c r="M5" s="15" t="s">
        <v>94</v>
      </c>
      <c r="N5" s="15" t="s">
        <v>95</v>
      </c>
      <c r="O5" s="14" t="s">
        <v>96</v>
      </c>
      <c r="P5" s="17"/>
      <c r="Q5" s="18"/>
      <c r="R5" s="19"/>
      <c r="S5" s="18"/>
    </row>
    <row r="6" customFormat="false" ht="53.7" hidden="false" customHeight="false" outlineLevel="0" collapsed="false">
      <c r="A6" s="14" t="n">
        <v>1</v>
      </c>
      <c r="B6" s="15" t="s">
        <v>30</v>
      </c>
      <c r="C6" s="14" t="s">
        <v>97</v>
      </c>
      <c r="D6" s="15" t="s">
        <v>98</v>
      </c>
      <c r="E6" s="14" t="s">
        <v>67</v>
      </c>
      <c r="F6" s="14" t="s">
        <v>85</v>
      </c>
      <c r="G6" s="14"/>
      <c r="H6" s="14"/>
      <c r="I6" s="14" t="s">
        <v>69</v>
      </c>
      <c r="J6" s="16" t="s">
        <v>23</v>
      </c>
      <c r="K6" s="15" t="s">
        <v>99</v>
      </c>
      <c r="L6" s="15" t="s">
        <v>100</v>
      </c>
      <c r="M6" s="15" t="s">
        <v>101</v>
      </c>
      <c r="N6" s="15" t="s">
        <v>102</v>
      </c>
      <c r="O6" s="14" t="s">
        <v>82</v>
      </c>
      <c r="P6" s="17"/>
      <c r="Q6" s="18"/>
      <c r="R6" s="19"/>
      <c r="S6" s="18"/>
    </row>
    <row r="7" customFormat="false" ht="53.7" hidden="false" customHeight="false" outlineLevel="0" collapsed="false">
      <c r="A7" s="14" t="n">
        <v>2</v>
      </c>
      <c r="B7" s="15" t="s">
        <v>31</v>
      </c>
      <c r="C7" s="14" t="s">
        <v>103</v>
      </c>
      <c r="D7" s="15" t="s">
        <v>104</v>
      </c>
      <c r="E7" s="14" t="s">
        <v>105</v>
      </c>
      <c r="F7" s="14" t="s">
        <v>68</v>
      </c>
      <c r="G7" s="14" t="s">
        <v>69</v>
      </c>
      <c r="H7" s="14" t="s">
        <v>69</v>
      </c>
      <c r="I7" s="14" t="s">
        <v>69</v>
      </c>
      <c r="J7" s="16" t="s">
        <v>23</v>
      </c>
      <c r="K7" s="15" t="s">
        <v>106</v>
      </c>
      <c r="L7" s="15" t="s">
        <v>107</v>
      </c>
      <c r="M7" s="15" t="s">
        <v>108</v>
      </c>
      <c r="N7" s="15" t="s">
        <v>109</v>
      </c>
      <c r="O7" s="14" t="s">
        <v>110</v>
      </c>
      <c r="P7" s="17"/>
      <c r="Q7" s="18"/>
      <c r="R7" s="19"/>
      <c r="S7" s="18"/>
    </row>
    <row r="8" customFormat="false" ht="43.25" hidden="false" customHeight="false" outlineLevel="0" collapsed="false">
      <c r="A8" s="14" t="n">
        <v>2</v>
      </c>
      <c r="B8" s="15" t="s">
        <v>31</v>
      </c>
      <c r="C8" s="14" t="s">
        <v>111</v>
      </c>
      <c r="D8" s="15" t="s">
        <v>112</v>
      </c>
      <c r="E8" s="14" t="s">
        <v>105</v>
      </c>
      <c r="F8" s="14" t="s">
        <v>68</v>
      </c>
      <c r="G8" s="14" t="s">
        <v>69</v>
      </c>
      <c r="H8" s="14" t="s">
        <v>69</v>
      </c>
      <c r="I8" s="14" t="s">
        <v>69</v>
      </c>
      <c r="J8" s="16" t="s">
        <v>23</v>
      </c>
      <c r="K8" s="15" t="s">
        <v>113</v>
      </c>
      <c r="L8" s="15" t="s">
        <v>114</v>
      </c>
      <c r="M8" s="15" t="s">
        <v>115</v>
      </c>
      <c r="N8" s="15" t="s">
        <v>116</v>
      </c>
      <c r="O8" s="14" t="s">
        <v>117</v>
      </c>
      <c r="P8" s="17"/>
      <c r="Q8" s="18"/>
      <c r="R8" s="19"/>
      <c r="S8" s="18"/>
    </row>
    <row r="9" customFormat="false" ht="53.7" hidden="false" customHeight="false" outlineLevel="0" collapsed="false">
      <c r="A9" s="14" t="n">
        <v>2</v>
      </c>
      <c r="B9" s="15" t="s">
        <v>31</v>
      </c>
      <c r="C9" s="14" t="s">
        <v>118</v>
      </c>
      <c r="D9" s="15" t="s">
        <v>119</v>
      </c>
      <c r="E9" s="14" t="s">
        <v>105</v>
      </c>
      <c r="F9" s="14" t="s">
        <v>77</v>
      </c>
      <c r="G9" s="14" t="s">
        <v>69</v>
      </c>
      <c r="H9" s="14" t="s">
        <v>69</v>
      </c>
      <c r="I9" s="14" t="s">
        <v>69</v>
      </c>
      <c r="J9" s="16" t="s">
        <v>23</v>
      </c>
      <c r="K9" s="15" t="s">
        <v>120</v>
      </c>
      <c r="L9" s="15" t="s">
        <v>121</v>
      </c>
      <c r="M9" s="15" t="s">
        <v>122</v>
      </c>
      <c r="N9" s="15" t="s">
        <v>123</v>
      </c>
      <c r="O9" s="14" t="s">
        <v>124</v>
      </c>
      <c r="P9" s="17"/>
      <c r="Q9" s="18"/>
      <c r="R9" s="19"/>
      <c r="S9" s="18"/>
    </row>
    <row r="10" customFormat="false" ht="43.25" hidden="false" customHeight="false" outlineLevel="0" collapsed="false">
      <c r="A10" s="14" t="n">
        <v>2</v>
      </c>
      <c r="B10" s="15" t="s">
        <v>31</v>
      </c>
      <c r="C10" s="14" t="s">
        <v>125</v>
      </c>
      <c r="D10" s="15" t="s">
        <v>126</v>
      </c>
      <c r="E10" s="14" t="s">
        <v>105</v>
      </c>
      <c r="F10" s="14" t="s">
        <v>85</v>
      </c>
      <c r="G10" s="14"/>
      <c r="H10" s="14" t="s">
        <v>69</v>
      </c>
      <c r="I10" s="14" t="s">
        <v>69</v>
      </c>
      <c r="J10" s="16" t="s">
        <v>23</v>
      </c>
      <c r="K10" s="15" t="s">
        <v>127</v>
      </c>
      <c r="L10" s="15" t="s">
        <v>128</v>
      </c>
      <c r="M10" s="15" t="s">
        <v>129</v>
      </c>
      <c r="N10" s="15" t="s">
        <v>130</v>
      </c>
      <c r="O10" s="14" t="s">
        <v>131</v>
      </c>
      <c r="P10" s="17"/>
      <c r="Q10" s="18"/>
      <c r="R10" s="19"/>
      <c r="S10" s="18"/>
    </row>
    <row r="11" customFormat="false" ht="53.7" hidden="false" customHeight="false" outlineLevel="0" collapsed="false">
      <c r="A11" s="14" t="n">
        <v>2</v>
      </c>
      <c r="B11" s="15" t="s">
        <v>31</v>
      </c>
      <c r="C11" s="14" t="s">
        <v>132</v>
      </c>
      <c r="D11" s="15" t="s">
        <v>133</v>
      </c>
      <c r="E11" s="14" t="s">
        <v>105</v>
      </c>
      <c r="F11" s="14" t="s">
        <v>134</v>
      </c>
      <c r="G11" s="14"/>
      <c r="H11" s="14" t="s">
        <v>69</v>
      </c>
      <c r="I11" s="14" t="s">
        <v>69</v>
      </c>
      <c r="J11" s="16" t="s">
        <v>23</v>
      </c>
      <c r="K11" s="15" t="s">
        <v>135</v>
      </c>
      <c r="L11" s="15" t="s">
        <v>136</v>
      </c>
      <c r="M11" s="15" t="s">
        <v>137</v>
      </c>
      <c r="N11" s="15" t="s">
        <v>138</v>
      </c>
      <c r="O11" s="14" t="s">
        <v>139</v>
      </c>
      <c r="P11" s="17"/>
      <c r="Q11" s="18"/>
      <c r="R11" s="19"/>
      <c r="S11" s="18"/>
    </row>
    <row r="12" customFormat="false" ht="43.25" hidden="false" customHeight="false" outlineLevel="0" collapsed="false">
      <c r="A12" s="14" t="n">
        <v>2</v>
      </c>
      <c r="B12" s="15" t="s">
        <v>31</v>
      </c>
      <c r="C12" s="14" t="s">
        <v>140</v>
      </c>
      <c r="D12" s="15" t="s">
        <v>141</v>
      </c>
      <c r="E12" s="14" t="s">
        <v>105</v>
      </c>
      <c r="F12" s="14" t="s">
        <v>134</v>
      </c>
      <c r="G12" s="14"/>
      <c r="H12" s="14" t="s">
        <v>69</v>
      </c>
      <c r="I12" s="14" t="s">
        <v>69</v>
      </c>
      <c r="J12" s="16" t="s">
        <v>23</v>
      </c>
      <c r="K12" s="15" t="s">
        <v>142</v>
      </c>
      <c r="L12" s="15" t="s">
        <v>143</v>
      </c>
      <c r="M12" s="15" t="s">
        <v>144</v>
      </c>
      <c r="N12" s="15" t="s">
        <v>145</v>
      </c>
      <c r="O12" s="14" t="s">
        <v>139</v>
      </c>
      <c r="P12" s="17"/>
      <c r="Q12" s="18"/>
      <c r="R12" s="19"/>
      <c r="S12" s="18"/>
    </row>
    <row r="13" customFormat="false" ht="53.7" hidden="false" customHeight="false" outlineLevel="0" collapsed="false">
      <c r="A13" s="14" t="n">
        <v>2</v>
      </c>
      <c r="B13" s="15" t="s">
        <v>31</v>
      </c>
      <c r="C13" s="14" t="s">
        <v>146</v>
      </c>
      <c r="D13" s="15" t="s">
        <v>147</v>
      </c>
      <c r="E13" s="14" t="s">
        <v>105</v>
      </c>
      <c r="F13" s="14" t="s">
        <v>134</v>
      </c>
      <c r="G13" s="14"/>
      <c r="H13" s="14"/>
      <c r="I13" s="14" t="s">
        <v>69</v>
      </c>
      <c r="J13" s="16" t="s">
        <v>23</v>
      </c>
      <c r="K13" s="15" t="s">
        <v>148</v>
      </c>
      <c r="L13" s="15" t="s">
        <v>149</v>
      </c>
      <c r="M13" s="15" t="s">
        <v>150</v>
      </c>
      <c r="N13" s="15" t="s">
        <v>151</v>
      </c>
      <c r="O13" s="14" t="s">
        <v>139</v>
      </c>
      <c r="P13" s="17"/>
      <c r="Q13" s="18"/>
      <c r="R13" s="19"/>
      <c r="S13" s="18"/>
    </row>
    <row r="14" customFormat="false" ht="43.25" hidden="false" customHeight="false" outlineLevel="0" collapsed="false">
      <c r="A14" s="14" t="n">
        <v>3</v>
      </c>
      <c r="B14" s="15" t="s">
        <v>32</v>
      </c>
      <c r="C14" s="14" t="s">
        <v>152</v>
      </c>
      <c r="D14" s="15" t="s">
        <v>153</v>
      </c>
      <c r="E14" s="14" t="s">
        <v>154</v>
      </c>
      <c r="F14" s="14" t="s">
        <v>155</v>
      </c>
      <c r="G14" s="14" t="s">
        <v>69</v>
      </c>
      <c r="H14" s="14" t="s">
        <v>69</v>
      </c>
      <c r="I14" s="14" t="s">
        <v>69</v>
      </c>
      <c r="J14" s="20" t="s">
        <v>25</v>
      </c>
      <c r="K14" s="15" t="s">
        <v>156</v>
      </c>
      <c r="L14" s="15" t="s">
        <v>157</v>
      </c>
      <c r="M14" s="15" t="s">
        <v>158</v>
      </c>
      <c r="N14" s="15" t="s">
        <v>159</v>
      </c>
      <c r="O14" s="14" t="s">
        <v>160</v>
      </c>
      <c r="P14" s="17"/>
      <c r="Q14" s="18"/>
      <c r="R14" s="19"/>
      <c r="S14" s="18"/>
    </row>
    <row r="15" customFormat="false" ht="53.7" hidden="false" customHeight="false" outlineLevel="0" collapsed="false">
      <c r="A15" s="14" t="n">
        <v>3</v>
      </c>
      <c r="B15" s="15" t="s">
        <v>32</v>
      </c>
      <c r="C15" s="14" t="s">
        <v>161</v>
      </c>
      <c r="D15" s="15" t="s">
        <v>162</v>
      </c>
      <c r="E15" s="14" t="s">
        <v>154</v>
      </c>
      <c r="F15" s="14" t="s">
        <v>68</v>
      </c>
      <c r="G15" s="14" t="s">
        <v>69</v>
      </c>
      <c r="H15" s="14" t="s">
        <v>69</v>
      </c>
      <c r="I15" s="14" t="s">
        <v>69</v>
      </c>
      <c r="J15" s="16" t="s">
        <v>23</v>
      </c>
      <c r="K15" s="15" t="s">
        <v>163</v>
      </c>
      <c r="L15" s="15" t="s">
        <v>164</v>
      </c>
      <c r="M15" s="15" t="s">
        <v>165</v>
      </c>
      <c r="N15" s="15" t="s">
        <v>166</v>
      </c>
      <c r="O15" s="14" t="s">
        <v>167</v>
      </c>
      <c r="P15" s="17"/>
      <c r="Q15" s="18"/>
      <c r="R15" s="19"/>
      <c r="S15" s="18"/>
    </row>
    <row r="16" customFormat="false" ht="53.7" hidden="false" customHeight="false" outlineLevel="0" collapsed="false">
      <c r="A16" s="14" t="n">
        <v>3</v>
      </c>
      <c r="B16" s="15" t="s">
        <v>32</v>
      </c>
      <c r="C16" s="14" t="s">
        <v>168</v>
      </c>
      <c r="D16" s="15" t="s">
        <v>169</v>
      </c>
      <c r="E16" s="14" t="s">
        <v>154</v>
      </c>
      <c r="F16" s="14" t="s">
        <v>134</v>
      </c>
      <c r="G16" s="14" t="s">
        <v>69</v>
      </c>
      <c r="H16" s="14" t="s">
        <v>69</v>
      </c>
      <c r="I16" s="14" t="s">
        <v>69</v>
      </c>
      <c r="J16" s="16" t="s">
        <v>23</v>
      </c>
      <c r="K16" s="15" t="s">
        <v>170</v>
      </c>
      <c r="L16" s="15" t="s">
        <v>171</v>
      </c>
      <c r="M16" s="15" t="s">
        <v>172</v>
      </c>
      <c r="N16" s="15" t="s">
        <v>173</v>
      </c>
      <c r="O16" s="14" t="s">
        <v>174</v>
      </c>
      <c r="P16" s="17"/>
      <c r="Q16" s="18"/>
      <c r="R16" s="19"/>
      <c r="S16" s="18"/>
    </row>
    <row r="17" customFormat="false" ht="53.7" hidden="false" customHeight="false" outlineLevel="0" collapsed="false">
      <c r="A17" s="14" t="n">
        <v>3</v>
      </c>
      <c r="B17" s="15" t="s">
        <v>32</v>
      </c>
      <c r="C17" s="14" t="s">
        <v>175</v>
      </c>
      <c r="D17" s="15" t="s">
        <v>176</v>
      </c>
      <c r="E17" s="14" t="s">
        <v>154</v>
      </c>
      <c r="F17" s="14" t="s">
        <v>134</v>
      </c>
      <c r="G17" s="14" t="s">
        <v>69</v>
      </c>
      <c r="H17" s="14" t="s">
        <v>69</v>
      </c>
      <c r="I17" s="14" t="s">
        <v>69</v>
      </c>
      <c r="J17" s="16" t="s">
        <v>23</v>
      </c>
      <c r="K17" s="15" t="s">
        <v>177</v>
      </c>
      <c r="L17" s="15" t="s">
        <v>178</v>
      </c>
      <c r="M17" s="15" t="s">
        <v>179</v>
      </c>
      <c r="N17" s="15" t="s">
        <v>180</v>
      </c>
      <c r="O17" s="14" t="s">
        <v>167</v>
      </c>
      <c r="P17" s="17"/>
      <c r="Q17" s="18"/>
      <c r="R17" s="19"/>
      <c r="S17" s="18"/>
    </row>
    <row r="18" customFormat="false" ht="53.7" hidden="false" customHeight="false" outlineLevel="0" collapsed="false">
      <c r="A18" s="14" t="n">
        <v>3</v>
      </c>
      <c r="B18" s="15" t="s">
        <v>32</v>
      </c>
      <c r="C18" s="14" t="s">
        <v>181</v>
      </c>
      <c r="D18" s="15" t="s">
        <v>182</v>
      </c>
      <c r="E18" s="14" t="s">
        <v>154</v>
      </c>
      <c r="F18" s="14" t="s">
        <v>134</v>
      </c>
      <c r="G18" s="14" t="s">
        <v>69</v>
      </c>
      <c r="H18" s="14" t="s">
        <v>69</v>
      </c>
      <c r="I18" s="14" t="s">
        <v>69</v>
      </c>
      <c r="J18" s="17" t="s">
        <v>24</v>
      </c>
      <c r="K18" s="15" t="s">
        <v>183</v>
      </c>
      <c r="L18" s="15" t="s">
        <v>184</v>
      </c>
      <c r="M18" s="15" t="s">
        <v>185</v>
      </c>
      <c r="N18" s="15" t="s">
        <v>186</v>
      </c>
      <c r="O18" s="14" t="s">
        <v>187</v>
      </c>
      <c r="P18" s="17"/>
      <c r="Q18" s="18"/>
      <c r="R18" s="19"/>
      <c r="S18" s="18"/>
    </row>
    <row r="19" customFormat="false" ht="43.25" hidden="false" customHeight="false" outlineLevel="0" collapsed="false">
      <c r="A19" s="14" t="n">
        <v>3</v>
      </c>
      <c r="B19" s="15" t="s">
        <v>32</v>
      </c>
      <c r="C19" s="14" t="s">
        <v>188</v>
      </c>
      <c r="D19" s="15" t="s">
        <v>189</v>
      </c>
      <c r="E19" s="14" t="s">
        <v>67</v>
      </c>
      <c r="F19" s="14" t="s">
        <v>134</v>
      </c>
      <c r="G19" s="14" t="s">
        <v>69</v>
      </c>
      <c r="H19" s="14" t="s">
        <v>69</v>
      </c>
      <c r="I19" s="14" t="s">
        <v>69</v>
      </c>
      <c r="J19" s="16" t="s">
        <v>23</v>
      </c>
      <c r="K19" s="15" t="s">
        <v>190</v>
      </c>
      <c r="L19" s="15" t="s">
        <v>191</v>
      </c>
      <c r="M19" s="15" t="s">
        <v>192</v>
      </c>
      <c r="N19" s="15" t="s">
        <v>193</v>
      </c>
      <c r="O19" s="14" t="s">
        <v>194</v>
      </c>
      <c r="P19" s="17"/>
      <c r="Q19" s="18"/>
      <c r="R19" s="19"/>
      <c r="S19" s="18"/>
    </row>
    <row r="20" customFormat="false" ht="53.7" hidden="false" customHeight="false" outlineLevel="0" collapsed="false">
      <c r="A20" s="14" t="n">
        <v>3</v>
      </c>
      <c r="B20" s="15" t="s">
        <v>32</v>
      </c>
      <c r="C20" s="14" t="s">
        <v>195</v>
      </c>
      <c r="D20" s="15" t="s">
        <v>196</v>
      </c>
      <c r="E20" s="14" t="s">
        <v>154</v>
      </c>
      <c r="F20" s="14" t="s">
        <v>155</v>
      </c>
      <c r="G20" s="14"/>
      <c r="H20" s="14" t="s">
        <v>69</v>
      </c>
      <c r="I20" s="14" t="s">
        <v>69</v>
      </c>
      <c r="J20" s="16" t="s">
        <v>23</v>
      </c>
      <c r="K20" s="15" t="s">
        <v>197</v>
      </c>
      <c r="L20" s="15" t="s">
        <v>198</v>
      </c>
      <c r="M20" s="15" t="s">
        <v>199</v>
      </c>
      <c r="N20" s="15" t="s">
        <v>200</v>
      </c>
      <c r="O20" s="14" t="s">
        <v>167</v>
      </c>
      <c r="P20" s="17"/>
      <c r="Q20" s="18"/>
      <c r="R20" s="19"/>
      <c r="S20" s="18"/>
    </row>
    <row r="21" customFormat="false" ht="43.25" hidden="false" customHeight="false" outlineLevel="0" collapsed="false">
      <c r="A21" s="14" t="n">
        <v>3</v>
      </c>
      <c r="B21" s="15" t="s">
        <v>32</v>
      </c>
      <c r="C21" s="14" t="s">
        <v>201</v>
      </c>
      <c r="D21" s="15" t="s">
        <v>202</v>
      </c>
      <c r="E21" s="14" t="s">
        <v>154</v>
      </c>
      <c r="F21" s="14" t="s">
        <v>68</v>
      </c>
      <c r="G21" s="14"/>
      <c r="H21" s="14" t="s">
        <v>69</v>
      </c>
      <c r="I21" s="14" t="s">
        <v>69</v>
      </c>
      <c r="J21" s="17" t="s">
        <v>24</v>
      </c>
      <c r="K21" s="15" t="s">
        <v>203</v>
      </c>
      <c r="L21" s="15" t="s">
        <v>204</v>
      </c>
      <c r="M21" s="15" t="s">
        <v>205</v>
      </c>
      <c r="N21" s="15" t="s">
        <v>206</v>
      </c>
      <c r="O21" s="14" t="s">
        <v>207</v>
      </c>
      <c r="P21" s="17"/>
      <c r="Q21" s="18"/>
      <c r="R21" s="19"/>
      <c r="S21" s="18"/>
    </row>
    <row r="22" customFormat="false" ht="43.25" hidden="false" customHeight="false" outlineLevel="0" collapsed="false">
      <c r="A22" s="14" t="n">
        <v>3</v>
      </c>
      <c r="B22" s="15" t="s">
        <v>32</v>
      </c>
      <c r="C22" s="14" t="s">
        <v>208</v>
      </c>
      <c r="D22" s="15" t="s">
        <v>209</v>
      </c>
      <c r="E22" s="14" t="s">
        <v>154</v>
      </c>
      <c r="F22" s="14" t="s">
        <v>134</v>
      </c>
      <c r="G22" s="14"/>
      <c r="H22" s="14" t="s">
        <v>69</v>
      </c>
      <c r="I22" s="14" t="s">
        <v>69</v>
      </c>
      <c r="J22" s="16" t="s">
        <v>23</v>
      </c>
      <c r="K22" s="15" t="s">
        <v>210</v>
      </c>
      <c r="L22" s="15" t="s">
        <v>211</v>
      </c>
      <c r="M22" s="15" t="s">
        <v>212</v>
      </c>
      <c r="N22" s="15" t="s">
        <v>213</v>
      </c>
      <c r="O22" s="14" t="s">
        <v>194</v>
      </c>
      <c r="P22" s="17"/>
      <c r="Q22" s="18"/>
      <c r="R22" s="19"/>
      <c r="S22" s="18"/>
    </row>
    <row r="23" customFormat="false" ht="53.7" hidden="false" customHeight="false" outlineLevel="0" collapsed="false">
      <c r="A23" s="14" t="n">
        <v>3</v>
      </c>
      <c r="B23" s="15" t="s">
        <v>32</v>
      </c>
      <c r="C23" s="14" t="s">
        <v>214</v>
      </c>
      <c r="D23" s="15" t="s">
        <v>215</v>
      </c>
      <c r="E23" s="14" t="s">
        <v>154</v>
      </c>
      <c r="F23" s="14" t="s">
        <v>134</v>
      </c>
      <c r="G23" s="14"/>
      <c r="H23" s="14" t="s">
        <v>69</v>
      </c>
      <c r="I23" s="14" t="s">
        <v>69</v>
      </c>
      <c r="J23" s="16" t="s">
        <v>23</v>
      </c>
      <c r="K23" s="15" t="s">
        <v>216</v>
      </c>
      <c r="L23" s="15" t="s">
        <v>217</v>
      </c>
      <c r="M23" s="15" t="s">
        <v>218</v>
      </c>
      <c r="N23" s="15" t="s">
        <v>219</v>
      </c>
      <c r="O23" s="14" t="s">
        <v>220</v>
      </c>
      <c r="P23" s="17"/>
      <c r="Q23" s="18"/>
      <c r="R23" s="19"/>
      <c r="S23" s="18"/>
    </row>
    <row r="24" customFormat="false" ht="53.7" hidden="false" customHeight="false" outlineLevel="0" collapsed="false">
      <c r="A24" s="14" t="n">
        <v>3</v>
      </c>
      <c r="B24" s="15" t="s">
        <v>32</v>
      </c>
      <c r="C24" s="14" t="s">
        <v>221</v>
      </c>
      <c r="D24" s="15" t="s">
        <v>222</v>
      </c>
      <c r="E24" s="14" t="s">
        <v>154</v>
      </c>
      <c r="F24" s="14" t="s">
        <v>134</v>
      </c>
      <c r="G24" s="14"/>
      <c r="H24" s="14" t="s">
        <v>69</v>
      </c>
      <c r="I24" s="14" t="s">
        <v>69</v>
      </c>
      <c r="J24" s="16" t="s">
        <v>23</v>
      </c>
      <c r="K24" s="15" t="s">
        <v>223</v>
      </c>
      <c r="L24" s="15" t="s">
        <v>224</v>
      </c>
      <c r="M24" s="15" t="s">
        <v>225</v>
      </c>
      <c r="N24" s="15" t="s">
        <v>226</v>
      </c>
      <c r="O24" s="14" t="s">
        <v>227</v>
      </c>
      <c r="P24" s="17"/>
      <c r="Q24" s="18"/>
      <c r="R24" s="19"/>
      <c r="S24" s="18"/>
    </row>
    <row r="25" customFormat="false" ht="53.7" hidden="false" customHeight="false" outlineLevel="0" collapsed="false">
      <c r="A25" s="14" t="n">
        <v>3</v>
      </c>
      <c r="B25" s="15" t="s">
        <v>32</v>
      </c>
      <c r="C25" s="14" t="s">
        <v>228</v>
      </c>
      <c r="D25" s="15" t="s">
        <v>229</v>
      </c>
      <c r="E25" s="14" t="s">
        <v>230</v>
      </c>
      <c r="F25" s="14" t="s">
        <v>134</v>
      </c>
      <c r="G25" s="14"/>
      <c r="H25" s="14" t="s">
        <v>69</v>
      </c>
      <c r="I25" s="14" t="s">
        <v>69</v>
      </c>
      <c r="J25" s="16" t="s">
        <v>23</v>
      </c>
      <c r="K25" s="15" t="s">
        <v>231</v>
      </c>
      <c r="L25" s="15" t="s">
        <v>232</v>
      </c>
      <c r="M25" s="15" t="s">
        <v>233</v>
      </c>
      <c r="N25" s="15" t="s">
        <v>234</v>
      </c>
      <c r="O25" s="14" t="s">
        <v>235</v>
      </c>
      <c r="P25" s="17"/>
      <c r="Q25" s="18"/>
      <c r="R25" s="19"/>
      <c r="S25" s="18"/>
    </row>
    <row r="26" customFormat="false" ht="53.7" hidden="false" customHeight="false" outlineLevel="0" collapsed="false">
      <c r="A26" s="14" t="n">
        <v>3</v>
      </c>
      <c r="B26" s="15" t="s">
        <v>32</v>
      </c>
      <c r="C26" s="14" t="s">
        <v>236</v>
      </c>
      <c r="D26" s="15" t="s">
        <v>237</v>
      </c>
      <c r="E26" s="14" t="s">
        <v>154</v>
      </c>
      <c r="F26" s="14" t="s">
        <v>134</v>
      </c>
      <c r="G26" s="14"/>
      <c r="H26" s="14"/>
      <c r="I26" s="14" t="s">
        <v>69</v>
      </c>
      <c r="J26" s="16" t="s">
        <v>23</v>
      </c>
      <c r="K26" s="15" t="s">
        <v>238</v>
      </c>
      <c r="L26" s="15" t="s">
        <v>239</v>
      </c>
      <c r="M26" s="15" t="s">
        <v>240</v>
      </c>
      <c r="N26" s="15" t="s">
        <v>241</v>
      </c>
      <c r="O26" s="14" t="s">
        <v>242</v>
      </c>
      <c r="P26" s="17"/>
      <c r="Q26" s="18"/>
      <c r="R26" s="19"/>
      <c r="S26" s="18"/>
    </row>
    <row r="27" customFormat="false" ht="43.25" hidden="false" customHeight="false" outlineLevel="0" collapsed="false">
      <c r="A27" s="14" t="n">
        <v>3</v>
      </c>
      <c r="B27" s="15" t="s">
        <v>32</v>
      </c>
      <c r="C27" s="14" t="s">
        <v>243</v>
      </c>
      <c r="D27" s="15" t="s">
        <v>244</v>
      </c>
      <c r="E27" s="14" t="s">
        <v>154</v>
      </c>
      <c r="F27" s="14" t="s">
        <v>85</v>
      </c>
      <c r="G27" s="14"/>
      <c r="H27" s="14"/>
      <c r="I27" s="14" t="s">
        <v>69</v>
      </c>
      <c r="J27" s="16" t="s">
        <v>23</v>
      </c>
      <c r="K27" s="15" t="s">
        <v>245</v>
      </c>
      <c r="L27" s="15" t="s">
        <v>246</v>
      </c>
      <c r="M27" s="15" t="s">
        <v>247</v>
      </c>
      <c r="N27" s="15" t="s">
        <v>248</v>
      </c>
      <c r="O27" s="14" t="s">
        <v>249</v>
      </c>
      <c r="P27" s="17"/>
      <c r="Q27" s="18"/>
      <c r="R27" s="19"/>
      <c r="S27" s="18"/>
    </row>
    <row r="28" customFormat="false" ht="53.7" hidden="false" customHeight="false" outlineLevel="0" collapsed="false">
      <c r="A28" s="14" t="n">
        <v>4</v>
      </c>
      <c r="B28" s="15" t="s">
        <v>33</v>
      </c>
      <c r="C28" s="14" t="s">
        <v>250</v>
      </c>
      <c r="D28" s="15" t="s">
        <v>251</v>
      </c>
      <c r="E28" s="14" t="s">
        <v>252</v>
      </c>
      <c r="F28" s="14" t="s">
        <v>155</v>
      </c>
      <c r="G28" s="14" t="s">
        <v>69</v>
      </c>
      <c r="H28" s="14" t="s">
        <v>69</v>
      </c>
      <c r="I28" s="14" t="s">
        <v>69</v>
      </c>
      <c r="J28" s="16" t="s">
        <v>23</v>
      </c>
      <c r="K28" s="15" t="s">
        <v>253</v>
      </c>
      <c r="L28" s="15" t="s">
        <v>254</v>
      </c>
      <c r="M28" s="15" t="s">
        <v>255</v>
      </c>
      <c r="N28" s="15" t="s">
        <v>256</v>
      </c>
      <c r="O28" s="14" t="s">
        <v>257</v>
      </c>
      <c r="P28" s="17"/>
      <c r="Q28" s="18"/>
      <c r="R28" s="19"/>
      <c r="S28" s="18"/>
    </row>
    <row r="29" customFormat="false" ht="43.25" hidden="false" customHeight="false" outlineLevel="0" collapsed="false">
      <c r="A29" s="14" t="n">
        <v>4</v>
      </c>
      <c r="B29" s="15" t="s">
        <v>33</v>
      </c>
      <c r="C29" s="14" t="s">
        <v>258</v>
      </c>
      <c r="D29" s="15" t="s">
        <v>259</v>
      </c>
      <c r="E29" s="14" t="s">
        <v>230</v>
      </c>
      <c r="F29" s="14" t="s">
        <v>155</v>
      </c>
      <c r="G29" s="14" t="s">
        <v>69</v>
      </c>
      <c r="H29" s="14" t="s">
        <v>69</v>
      </c>
      <c r="I29" s="14" t="s">
        <v>69</v>
      </c>
      <c r="J29" s="17" t="s">
        <v>24</v>
      </c>
      <c r="K29" s="15" t="s">
        <v>260</v>
      </c>
      <c r="L29" s="15" t="s">
        <v>261</v>
      </c>
      <c r="M29" s="15" t="s">
        <v>262</v>
      </c>
      <c r="N29" s="15" t="s">
        <v>263</v>
      </c>
      <c r="O29" s="14" t="s">
        <v>264</v>
      </c>
      <c r="P29" s="17"/>
      <c r="Q29" s="18"/>
      <c r="R29" s="19"/>
      <c r="S29" s="18"/>
    </row>
    <row r="30" customFormat="false" ht="43.25" hidden="false" customHeight="false" outlineLevel="0" collapsed="false">
      <c r="A30" s="14" t="n">
        <v>4</v>
      </c>
      <c r="B30" s="15" t="s">
        <v>33</v>
      </c>
      <c r="C30" s="14" t="s">
        <v>265</v>
      </c>
      <c r="D30" s="15" t="s">
        <v>266</v>
      </c>
      <c r="E30" s="14" t="s">
        <v>67</v>
      </c>
      <c r="F30" s="14" t="s">
        <v>134</v>
      </c>
      <c r="G30" s="14" t="s">
        <v>69</v>
      </c>
      <c r="H30" s="14" t="s">
        <v>69</v>
      </c>
      <c r="I30" s="14" t="s">
        <v>69</v>
      </c>
      <c r="J30" s="16" t="s">
        <v>23</v>
      </c>
      <c r="K30" s="15" t="s">
        <v>267</v>
      </c>
      <c r="L30" s="15" t="s">
        <v>268</v>
      </c>
      <c r="M30" s="15" t="s">
        <v>269</v>
      </c>
      <c r="N30" s="15" t="s">
        <v>270</v>
      </c>
      <c r="O30" s="14" t="s">
        <v>271</v>
      </c>
      <c r="P30" s="17"/>
      <c r="Q30" s="18"/>
      <c r="R30" s="19"/>
      <c r="S30" s="18"/>
    </row>
    <row r="31" customFormat="false" ht="43.25" hidden="false" customHeight="false" outlineLevel="0" collapsed="false">
      <c r="A31" s="14" t="n">
        <v>4</v>
      </c>
      <c r="B31" s="15" t="s">
        <v>33</v>
      </c>
      <c r="C31" s="14" t="s">
        <v>272</v>
      </c>
      <c r="D31" s="15" t="s">
        <v>273</v>
      </c>
      <c r="E31" s="14" t="s">
        <v>67</v>
      </c>
      <c r="F31" s="14" t="s">
        <v>134</v>
      </c>
      <c r="G31" s="14" t="s">
        <v>69</v>
      </c>
      <c r="H31" s="14" t="s">
        <v>69</v>
      </c>
      <c r="I31" s="14" t="s">
        <v>69</v>
      </c>
      <c r="J31" s="16" t="s">
        <v>23</v>
      </c>
      <c r="K31" s="15" t="s">
        <v>274</v>
      </c>
      <c r="L31" s="15" t="s">
        <v>275</v>
      </c>
      <c r="M31" s="15" t="s">
        <v>276</v>
      </c>
      <c r="N31" s="15" t="s">
        <v>277</v>
      </c>
      <c r="O31" s="14" t="s">
        <v>278</v>
      </c>
      <c r="P31" s="17"/>
      <c r="Q31" s="18"/>
      <c r="R31" s="19"/>
      <c r="S31" s="18"/>
    </row>
    <row r="32" customFormat="false" ht="32.8" hidden="false" customHeight="false" outlineLevel="0" collapsed="false">
      <c r="A32" s="14" t="n">
        <v>4</v>
      </c>
      <c r="B32" s="15" t="s">
        <v>33</v>
      </c>
      <c r="C32" s="14" t="s">
        <v>279</v>
      </c>
      <c r="D32" s="15" t="s">
        <v>280</v>
      </c>
      <c r="E32" s="14" t="s">
        <v>67</v>
      </c>
      <c r="F32" s="14" t="s">
        <v>134</v>
      </c>
      <c r="G32" s="14" t="s">
        <v>69</v>
      </c>
      <c r="H32" s="14" t="s">
        <v>69</v>
      </c>
      <c r="I32" s="14" t="s">
        <v>69</v>
      </c>
      <c r="J32" s="16" t="s">
        <v>23</v>
      </c>
      <c r="K32" s="15" t="s">
        <v>281</v>
      </c>
      <c r="L32" s="15" t="s">
        <v>282</v>
      </c>
      <c r="M32" s="15" t="s">
        <v>283</v>
      </c>
      <c r="N32" s="15" t="s">
        <v>270</v>
      </c>
      <c r="O32" s="14" t="s">
        <v>284</v>
      </c>
      <c r="P32" s="17"/>
      <c r="Q32" s="18"/>
      <c r="R32" s="19"/>
      <c r="S32" s="18"/>
    </row>
    <row r="33" customFormat="false" ht="43.25" hidden="false" customHeight="false" outlineLevel="0" collapsed="false">
      <c r="A33" s="14" t="n">
        <v>4</v>
      </c>
      <c r="B33" s="15" t="s">
        <v>33</v>
      </c>
      <c r="C33" s="14" t="s">
        <v>285</v>
      </c>
      <c r="D33" s="15" t="s">
        <v>286</v>
      </c>
      <c r="E33" s="14" t="s">
        <v>67</v>
      </c>
      <c r="F33" s="14" t="s">
        <v>134</v>
      </c>
      <c r="G33" s="14" t="s">
        <v>69</v>
      </c>
      <c r="H33" s="14" t="s">
        <v>69</v>
      </c>
      <c r="I33" s="14" t="s">
        <v>69</v>
      </c>
      <c r="J33" s="16" t="s">
        <v>23</v>
      </c>
      <c r="K33" s="15" t="s">
        <v>287</v>
      </c>
      <c r="L33" s="15" t="s">
        <v>288</v>
      </c>
      <c r="M33" s="15" t="s">
        <v>289</v>
      </c>
      <c r="N33" s="15" t="s">
        <v>290</v>
      </c>
      <c r="O33" s="14" t="s">
        <v>291</v>
      </c>
      <c r="P33" s="17"/>
      <c r="Q33" s="18"/>
      <c r="R33" s="19"/>
      <c r="S33" s="18"/>
    </row>
    <row r="34" customFormat="false" ht="43.25" hidden="false" customHeight="false" outlineLevel="0" collapsed="false">
      <c r="A34" s="14" t="n">
        <v>4</v>
      </c>
      <c r="B34" s="15" t="s">
        <v>33</v>
      </c>
      <c r="C34" s="14" t="s">
        <v>292</v>
      </c>
      <c r="D34" s="15" t="s">
        <v>293</v>
      </c>
      <c r="E34" s="14" t="s">
        <v>294</v>
      </c>
      <c r="F34" s="14" t="s">
        <v>134</v>
      </c>
      <c r="G34" s="14" t="s">
        <v>69</v>
      </c>
      <c r="H34" s="14" t="s">
        <v>69</v>
      </c>
      <c r="I34" s="14" t="s">
        <v>69</v>
      </c>
      <c r="J34" s="16" t="s">
        <v>23</v>
      </c>
      <c r="K34" s="15" t="s">
        <v>295</v>
      </c>
      <c r="L34" s="15" t="s">
        <v>296</v>
      </c>
      <c r="M34" s="15" t="s">
        <v>297</v>
      </c>
      <c r="N34" s="15" t="s">
        <v>298</v>
      </c>
      <c r="O34" s="14" t="s">
        <v>299</v>
      </c>
      <c r="P34" s="17"/>
      <c r="Q34" s="18"/>
      <c r="R34" s="19"/>
      <c r="S34" s="18"/>
    </row>
    <row r="35" customFormat="false" ht="43.25" hidden="false" customHeight="false" outlineLevel="0" collapsed="false">
      <c r="A35" s="14" t="n">
        <v>4</v>
      </c>
      <c r="B35" s="15" t="s">
        <v>33</v>
      </c>
      <c r="C35" s="14" t="s">
        <v>300</v>
      </c>
      <c r="D35" s="15" t="s">
        <v>301</v>
      </c>
      <c r="E35" s="14" t="s">
        <v>67</v>
      </c>
      <c r="F35" s="14" t="s">
        <v>134</v>
      </c>
      <c r="G35" s="14"/>
      <c r="H35" s="14" t="s">
        <v>69</v>
      </c>
      <c r="I35" s="14" t="s">
        <v>69</v>
      </c>
      <c r="J35" s="16" t="s">
        <v>23</v>
      </c>
      <c r="K35" s="15" t="s">
        <v>302</v>
      </c>
      <c r="L35" s="15" t="s">
        <v>303</v>
      </c>
      <c r="M35" s="15" t="s">
        <v>304</v>
      </c>
      <c r="N35" s="15" t="s">
        <v>305</v>
      </c>
      <c r="O35" s="14" t="s">
        <v>306</v>
      </c>
      <c r="P35" s="17"/>
      <c r="Q35" s="18"/>
      <c r="R35" s="19"/>
      <c r="S35" s="18"/>
    </row>
    <row r="36" customFormat="false" ht="43.25" hidden="false" customHeight="false" outlineLevel="0" collapsed="false">
      <c r="A36" s="14" t="n">
        <v>4</v>
      </c>
      <c r="B36" s="15" t="s">
        <v>33</v>
      </c>
      <c r="C36" s="14" t="s">
        <v>307</v>
      </c>
      <c r="D36" s="15" t="s">
        <v>308</v>
      </c>
      <c r="E36" s="14" t="s">
        <v>67</v>
      </c>
      <c r="F36" s="14" t="s">
        <v>134</v>
      </c>
      <c r="G36" s="14"/>
      <c r="H36" s="14" t="s">
        <v>69</v>
      </c>
      <c r="I36" s="14" t="s">
        <v>69</v>
      </c>
      <c r="J36" s="16" t="s">
        <v>23</v>
      </c>
      <c r="K36" s="15" t="s">
        <v>309</v>
      </c>
      <c r="L36" s="15" t="s">
        <v>310</v>
      </c>
      <c r="M36" s="15" t="s">
        <v>311</v>
      </c>
      <c r="N36" s="15" t="s">
        <v>312</v>
      </c>
      <c r="O36" s="14" t="s">
        <v>313</v>
      </c>
      <c r="P36" s="17"/>
      <c r="Q36" s="18"/>
      <c r="R36" s="19"/>
      <c r="S36" s="18"/>
    </row>
    <row r="37" customFormat="false" ht="43.25" hidden="false" customHeight="false" outlineLevel="0" collapsed="false">
      <c r="A37" s="14" t="n">
        <v>4</v>
      </c>
      <c r="B37" s="15" t="s">
        <v>33</v>
      </c>
      <c r="C37" s="14" t="s">
        <v>314</v>
      </c>
      <c r="D37" s="15" t="s">
        <v>315</v>
      </c>
      <c r="E37" s="14" t="s">
        <v>67</v>
      </c>
      <c r="F37" s="14" t="s">
        <v>134</v>
      </c>
      <c r="G37" s="14"/>
      <c r="H37" s="14" t="s">
        <v>69</v>
      </c>
      <c r="I37" s="14" t="s">
        <v>69</v>
      </c>
      <c r="J37" s="16" t="s">
        <v>23</v>
      </c>
      <c r="K37" s="15" t="s">
        <v>316</v>
      </c>
      <c r="L37" s="15" t="s">
        <v>317</v>
      </c>
      <c r="M37" s="15" t="s">
        <v>318</v>
      </c>
      <c r="N37" s="15" t="s">
        <v>270</v>
      </c>
      <c r="O37" s="14" t="s">
        <v>319</v>
      </c>
      <c r="P37" s="17"/>
      <c r="Q37" s="18"/>
      <c r="R37" s="19"/>
      <c r="S37" s="18"/>
    </row>
    <row r="38" customFormat="false" ht="32.8" hidden="false" customHeight="false" outlineLevel="0" collapsed="false">
      <c r="A38" s="14" t="n">
        <v>4</v>
      </c>
      <c r="B38" s="15" t="s">
        <v>33</v>
      </c>
      <c r="C38" s="14" t="s">
        <v>320</v>
      </c>
      <c r="D38" s="15" t="s">
        <v>321</v>
      </c>
      <c r="E38" s="14" t="s">
        <v>67</v>
      </c>
      <c r="F38" s="14" t="s">
        <v>134</v>
      </c>
      <c r="G38" s="14"/>
      <c r="H38" s="14" t="s">
        <v>69</v>
      </c>
      <c r="I38" s="14" t="s">
        <v>69</v>
      </c>
      <c r="J38" s="16" t="s">
        <v>23</v>
      </c>
      <c r="K38" s="15" t="s">
        <v>322</v>
      </c>
      <c r="L38" s="15" t="s">
        <v>323</v>
      </c>
      <c r="M38" s="15" t="s">
        <v>324</v>
      </c>
      <c r="N38" s="15" t="s">
        <v>270</v>
      </c>
      <c r="O38" s="14" t="s">
        <v>325</v>
      </c>
      <c r="P38" s="17"/>
      <c r="Q38" s="18"/>
      <c r="R38" s="19"/>
      <c r="S38" s="18"/>
    </row>
    <row r="39" customFormat="false" ht="43.25" hidden="false" customHeight="false" outlineLevel="0" collapsed="false">
      <c r="A39" s="14" t="n">
        <v>4</v>
      </c>
      <c r="B39" s="15" t="s">
        <v>33</v>
      </c>
      <c r="C39" s="14" t="s">
        <v>326</v>
      </c>
      <c r="D39" s="15" t="s">
        <v>327</v>
      </c>
      <c r="E39" s="14" t="s">
        <v>67</v>
      </c>
      <c r="F39" s="14" t="s">
        <v>134</v>
      </c>
      <c r="G39" s="14"/>
      <c r="H39" s="14"/>
      <c r="I39" s="14" t="s">
        <v>69</v>
      </c>
      <c r="J39" s="16" t="s">
        <v>23</v>
      </c>
      <c r="K39" s="15" t="s">
        <v>328</v>
      </c>
      <c r="L39" s="15" t="s">
        <v>329</v>
      </c>
      <c r="M39" s="15" t="s">
        <v>330</v>
      </c>
      <c r="N39" s="15" t="s">
        <v>331</v>
      </c>
      <c r="O39" s="14" t="s">
        <v>332</v>
      </c>
      <c r="P39" s="17"/>
      <c r="Q39" s="18"/>
      <c r="R39" s="19"/>
      <c r="S39" s="18"/>
    </row>
    <row r="40" customFormat="false" ht="43.25" hidden="false" customHeight="false" outlineLevel="0" collapsed="false">
      <c r="A40" s="14" t="n">
        <v>5</v>
      </c>
      <c r="B40" s="15" t="s">
        <v>34</v>
      </c>
      <c r="C40" s="14" t="s">
        <v>333</v>
      </c>
      <c r="D40" s="15" t="s">
        <v>334</v>
      </c>
      <c r="E40" s="14" t="s">
        <v>294</v>
      </c>
      <c r="F40" s="14" t="s">
        <v>68</v>
      </c>
      <c r="G40" s="14" t="s">
        <v>69</v>
      </c>
      <c r="H40" s="14" t="s">
        <v>69</v>
      </c>
      <c r="I40" s="14" t="s">
        <v>69</v>
      </c>
      <c r="J40" s="16" t="s">
        <v>23</v>
      </c>
      <c r="K40" s="15" t="s">
        <v>335</v>
      </c>
      <c r="L40" s="15" t="s">
        <v>336</v>
      </c>
      <c r="M40" s="15" t="s">
        <v>337</v>
      </c>
      <c r="N40" s="15" t="s">
        <v>338</v>
      </c>
      <c r="O40" s="14" t="s">
        <v>339</v>
      </c>
      <c r="P40" s="17"/>
      <c r="Q40" s="18"/>
      <c r="R40" s="19"/>
      <c r="S40" s="18"/>
    </row>
    <row r="41" customFormat="false" ht="43.25" hidden="false" customHeight="false" outlineLevel="0" collapsed="false">
      <c r="A41" s="14" t="n">
        <v>5</v>
      </c>
      <c r="B41" s="15" t="s">
        <v>34</v>
      </c>
      <c r="C41" s="14" t="s">
        <v>340</v>
      </c>
      <c r="D41" s="15" t="s">
        <v>341</v>
      </c>
      <c r="E41" s="14" t="s">
        <v>294</v>
      </c>
      <c r="F41" s="14" t="s">
        <v>134</v>
      </c>
      <c r="G41" s="14" t="s">
        <v>69</v>
      </c>
      <c r="H41" s="14" t="s">
        <v>69</v>
      </c>
      <c r="I41" s="14" t="s">
        <v>69</v>
      </c>
      <c r="J41" s="16" t="s">
        <v>23</v>
      </c>
      <c r="K41" s="15" t="s">
        <v>342</v>
      </c>
      <c r="L41" s="15" t="s">
        <v>343</v>
      </c>
      <c r="M41" s="15" t="s">
        <v>344</v>
      </c>
      <c r="N41" s="15" t="s">
        <v>345</v>
      </c>
      <c r="O41" s="14" t="s">
        <v>346</v>
      </c>
      <c r="P41" s="17"/>
      <c r="Q41" s="18"/>
      <c r="R41" s="19"/>
      <c r="S41" s="18"/>
    </row>
    <row r="42" customFormat="false" ht="43.25" hidden="false" customHeight="false" outlineLevel="0" collapsed="false">
      <c r="A42" s="14" t="n">
        <v>5</v>
      </c>
      <c r="B42" s="15" t="s">
        <v>34</v>
      </c>
      <c r="C42" s="14" t="s">
        <v>347</v>
      </c>
      <c r="D42" s="15" t="s">
        <v>348</v>
      </c>
      <c r="E42" s="14" t="s">
        <v>294</v>
      </c>
      <c r="F42" s="14" t="s">
        <v>134</v>
      </c>
      <c r="G42" s="14" t="s">
        <v>69</v>
      </c>
      <c r="H42" s="14" t="s">
        <v>69</v>
      </c>
      <c r="I42" s="14" t="s">
        <v>69</v>
      </c>
      <c r="J42" s="16" t="s">
        <v>23</v>
      </c>
      <c r="K42" s="15" t="s">
        <v>349</v>
      </c>
      <c r="L42" s="15" t="s">
        <v>350</v>
      </c>
      <c r="M42" s="15" t="s">
        <v>351</v>
      </c>
      <c r="N42" s="15" t="s">
        <v>352</v>
      </c>
      <c r="O42" s="14" t="s">
        <v>353</v>
      </c>
      <c r="P42" s="17"/>
      <c r="Q42" s="18"/>
      <c r="R42" s="19"/>
      <c r="S42" s="18"/>
    </row>
    <row r="43" customFormat="false" ht="43.25" hidden="false" customHeight="false" outlineLevel="0" collapsed="false">
      <c r="A43" s="14" t="n">
        <v>5</v>
      </c>
      <c r="B43" s="15" t="s">
        <v>34</v>
      </c>
      <c r="C43" s="14" t="s">
        <v>354</v>
      </c>
      <c r="D43" s="15" t="s">
        <v>355</v>
      </c>
      <c r="E43" s="14" t="s">
        <v>294</v>
      </c>
      <c r="F43" s="14" t="s">
        <v>134</v>
      </c>
      <c r="G43" s="14" t="s">
        <v>69</v>
      </c>
      <c r="H43" s="14" t="s">
        <v>69</v>
      </c>
      <c r="I43" s="14" t="s">
        <v>69</v>
      </c>
      <c r="J43" s="16" t="s">
        <v>23</v>
      </c>
      <c r="K43" s="15" t="s">
        <v>356</v>
      </c>
      <c r="L43" s="15" t="s">
        <v>357</v>
      </c>
      <c r="M43" s="15" t="s">
        <v>358</v>
      </c>
      <c r="N43" s="15" t="s">
        <v>359</v>
      </c>
      <c r="O43" s="14" t="s">
        <v>360</v>
      </c>
      <c r="P43" s="17"/>
      <c r="Q43" s="18"/>
      <c r="R43" s="19"/>
      <c r="S43" s="18"/>
    </row>
    <row r="44" customFormat="false" ht="43.25" hidden="false" customHeight="false" outlineLevel="0" collapsed="false">
      <c r="A44" s="14" t="n">
        <v>5</v>
      </c>
      <c r="B44" s="15" t="s">
        <v>34</v>
      </c>
      <c r="C44" s="14" t="s">
        <v>361</v>
      </c>
      <c r="D44" s="15" t="s">
        <v>362</v>
      </c>
      <c r="E44" s="14" t="s">
        <v>294</v>
      </c>
      <c r="F44" s="14" t="s">
        <v>68</v>
      </c>
      <c r="G44" s="14"/>
      <c r="H44" s="14" t="s">
        <v>69</v>
      </c>
      <c r="I44" s="14" t="s">
        <v>69</v>
      </c>
      <c r="J44" s="16" t="s">
        <v>23</v>
      </c>
      <c r="K44" s="15" t="s">
        <v>363</v>
      </c>
      <c r="L44" s="15" t="s">
        <v>364</v>
      </c>
      <c r="M44" s="15" t="s">
        <v>365</v>
      </c>
      <c r="N44" s="15" t="s">
        <v>366</v>
      </c>
      <c r="O44" s="14" t="s">
        <v>299</v>
      </c>
      <c r="P44" s="17"/>
      <c r="Q44" s="18"/>
      <c r="R44" s="19"/>
      <c r="S44" s="18"/>
    </row>
    <row r="45" customFormat="false" ht="32.8" hidden="false" customHeight="false" outlineLevel="0" collapsed="false">
      <c r="A45" s="14" t="n">
        <v>5</v>
      </c>
      <c r="B45" s="15" t="s">
        <v>34</v>
      </c>
      <c r="C45" s="14" t="s">
        <v>367</v>
      </c>
      <c r="D45" s="15" t="s">
        <v>368</v>
      </c>
      <c r="E45" s="14" t="s">
        <v>294</v>
      </c>
      <c r="F45" s="14" t="s">
        <v>155</v>
      </c>
      <c r="G45" s="14"/>
      <c r="H45" s="14" t="s">
        <v>69</v>
      </c>
      <c r="I45" s="14" t="s">
        <v>69</v>
      </c>
      <c r="J45" s="16" t="s">
        <v>23</v>
      </c>
      <c r="K45" s="15" t="s">
        <v>369</v>
      </c>
      <c r="L45" s="15" t="s">
        <v>370</v>
      </c>
      <c r="M45" s="15" t="s">
        <v>371</v>
      </c>
      <c r="N45" s="15" t="s">
        <v>372</v>
      </c>
      <c r="O45" s="14" t="s">
        <v>373</v>
      </c>
      <c r="P45" s="17"/>
      <c r="Q45" s="18"/>
      <c r="R45" s="19"/>
      <c r="S45" s="18"/>
    </row>
    <row r="46" customFormat="false" ht="43.25" hidden="false" customHeight="false" outlineLevel="0" collapsed="false">
      <c r="A46" s="14" t="n">
        <v>6</v>
      </c>
      <c r="B46" s="15" t="s">
        <v>35</v>
      </c>
      <c r="C46" s="14" t="s">
        <v>374</v>
      </c>
      <c r="D46" s="15" t="s">
        <v>375</v>
      </c>
      <c r="E46" s="14" t="s">
        <v>294</v>
      </c>
      <c r="F46" s="14" t="s">
        <v>155</v>
      </c>
      <c r="G46" s="14" t="s">
        <v>69</v>
      </c>
      <c r="H46" s="14" t="s">
        <v>69</v>
      </c>
      <c r="I46" s="14" t="s">
        <v>69</v>
      </c>
      <c r="J46" s="16" t="s">
        <v>23</v>
      </c>
      <c r="K46" s="15" t="s">
        <v>376</v>
      </c>
      <c r="L46" s="15" t="s">
        <v>377</v>
      </c>
      <c r="M46" s="15" t="s">
        <v>378</v>
      </c>
      <c r="N46" s="15" t="s">
        <v>379</v>
      </c>
      <c r="O46" s="14" t="s">
        <v>380</v>
      </c>
      <c r="P46" s="17"/>
      <c r="Q46" s="18"/>
      <c r="R46" s="19"/>
      <c r="S46" s="18"/>
    </row>
    <row r="47" customFormat="false" ht="43.25" hidden="false" customHeight="false" outlineLevel="0" collapsed="false">
      <c r="A47" s="14" t="n">
        <v>6</v>
      </c>
      <c r="B47" s="15" t="s">
        <v>35</v>
      </c>
      <c r="C47" s="14" t="s">
        <v>381</v>
      </c>
      <c r="D47" s="15" t="s">
        <v>382</v>
      </c>
      <c r="E47" s="14" t="s">
        <v>294</v>
      </c>
      <c r="F47" s="14" t="s">
        <v>155</v>
      </c>
      <c r="G47" s="14" t="s">
        <v>69</v>
      </c>
      <c r="H47" s="14" t="s">
        <v>69</v>
      </c>
      <c r="I47" s="14" t="s">
        <v>69</v>
      </c>
      <c r="J47" s="16" t="s">
        <v>23</v>
      </c>
      <c r="K47" s="15" t="s">
        <v>383</v>
      </c>
      <c r="L47" s="15" t="s">
        <v>384</v>
      </c>
      <c r="M47" s="15" t="s">
        <v>385</v>
      </c>
      <c r="N47" s="15" t="s">
        <v>386</v>
      </c>
      <c r="O47" s="14" t="s">
        <v>353</v>
      </c>
      <c r="P47" s="17"/>
      <c r="Q47" s="18"/>
      <c r="R47" s="19"/>
      <c r="S47" s="18"/>
    </row>
    <row r="48" customFormat="false" ht="43.25" hidden="false" customHeight="false" outlineLevel="0" collapsed="false">
      <c r="A48" s="14" t="n">
        <v>6</v>
      </c>
      <c r="B48" s="15" t="s">
        <v>35</v>
      </c>
      <c r="C48" s="14" t="s">
        <v>387</v>
      </c>
      <c r="D48" s="15" t="s">
        <v>388</v>
      </c>
      <c r="E48" s="14" t="s">
        <v>294</v>
      </c>
      <c r="F48" s="14" t="s">
        <v>134</v>
      </c>
      <c r="G48" s="14" t="s">
        <v>69</v>
      </c>
      <c r="H48" s="14" t="s">
        <v>69</v>
      </c>
      <c r="I48" s="14" t="s">
        <v>69</v>
      </c>
      <c r="J48" s="16" t="s">
        <v>23</v>
      </c>
      <c r="K48" s="15" t="s">
        <v>389</v>
      </c>
      <c r="L48" s="15" t="s">
        <v>390</v>
      </c>
      <c r="M48" s="15" t="s">
        <v>391</v>
      </c>
      <c r="N48" s="15" t="s">
        <v>392</v>
      </c>
      <c r="O48" s="14" t="s">
        <v>393</v>
      </c>
      <c r="P48" s="17"/>
      <c r="Q48" s="18"/>
      <c r="R48" s="19"/>
      <c r="S48" s="18"/>
    </row>
    <row r="49" customFormat="false" ht="43.25" hidden="false" customHeight="false" outlineLevel="0" collapsed="false">
      <c r="A49" s="14" t="n">
        <v>6</v>
      </c>
      <c r="B49" s="15" t="s">
        <v>35</v>
      </c>
      <c r="C49" s="14" t="s">
        <v>394</v>
      </c>
      <c r="D49" s="15" t="s">
        <v>395</v>
      </c>
      <c r="E49" s="14" t="s">
        <v>294</v>
      </c>
      <c r="F49" s="14" t="s">
        <v>134</v>
      </c>
      <c r="G49" s="14" t="s">
        <v>69</v>
      </c>
      <c r="H49" s="14" t="s">
        <v>69</v>
      </c>
      <c r="I49" s="14" t="s">
        <v>69</v>
      </c>
      <c r="J49" s="16" t="s">
        <v>23</v>
      </c>
      <c r="K49" s="15" t="s">
        <v>396</v>
      </c>
      <c r="L49" s="15" t="s">
        <v>397</v>
      </c>
      <c r="M49" s="15" t="s">
        <v>398</v>
      </c>
      <c r="N49" s="15" t="s">
        <v>399</v>
      </c>
      <c r="O49" s="14" t="s">
        <v>400</v>
      </c>
      <c r="P49" s="17"/>
      <c r="Q49" s="18"/>
      <c r="R49" s="19"/>
      <c r="S49" s="18"/>
    </row>
    <row r="50" customFormat="false" ht="43.25" hidden="false" customHeight="false" outlineLevel="0" collapsed="false">
      <c r="A50" s="14" t="n">
        <v>6</v>
      </c>
      <c r="B50" s="15" t="s">
        <v>35</v>
      </c>
      <c r="C50" s="14" t="s">
        <v>401</v>
      </c>
      <c r="D50" s="15" t="s">
        <v>402</v>
      </c>
      <c r="E50" s="14" t="s">
        <v>294</v>
      </c>
      <c r="F50" s="14" t="s">
        <v>134</v>
      </c>
      <c r="G50" s="14" t="s">
        <v>69</v>
      </c>
      <c r="H50" s="14" t="s">
        <v>69</v>
      </c>
      <c r="I50" s="14" t="s">
        <v>69</v>
      </c>
      <c r="J50" s="16" t="s">
        <v>23</v>
      </c>
      <c r="K50" s="15" t="s">
        <v>403</v>
      </c>
      <c r="L50" s="15" t="s">
        <v>404</v>
      </c>
      <c r="M50" s="15" t="s">
        <v>405</v>
      </c>
      <c r="N50" s="15" t="s">
        <v>406</v>
      </c>
      <c r="O50" s="14" t="s">
        <v>407</v>
      </c>
      <c r="P50" s="17"/>
      <c r="Q50" s="18"/>
      <c r="R50" s="19"/>
      <c r="S50" s="18"/>
    </row>
    <row r="51" customFormat="false" ht="43.25" hidden="false" customHeight="false" outlineLevel="0" collapsed="false">
      <c r="A51" s="14" t="n">
        <v>6</v>
      </c>
      <c r="B51" s="15" t="s">
        <v>35</v>
      </c>
      <c r="C51" s="14" t="s">
        <v>408</v>
      </c>
      <c r="D51" s="15" t="s">
        <v>409</v>
      </c>
      <c r="E51" s="14" t="s">
        <v>105</v>
      </c>
      <c r="F51" s="14" t="s">
        <v>68</v>
      </c>
      <c r="G51" s="14"/>
      <c r="H51" s="14" t="s">
        <v>69</v>
      </c>
      <c r="I51" s="14" t="s">
        <v>69</v>
      </c>
      <c r="J51" s="17" t="s">
        <v>24</v>
      </c>
      <c r="K51" s="15" t="s">
        <v>410</v>
      </c>
      <c r="L51" s="15" t="s">
        <v>411</v>
      </c>
      <c r="M51" s="15" t="s">
        <v>412</v>
      </c>
      <c r="N51" s="15" t="s">
        <v>413</v>
      </c>
      <c r="O51" s="14" t="s">
        <v>414</v>
      </c>
      <c r="P51" s="17"/>
      <c r="Q51" s="18"/>
      <c r="R51" s="19"/>
      <c r="S51" s="18"/>
    </row>
    <row r="52" customFormat="false" ht="43.25" hidden="false" customHeight="false" outlineLevel="0" collapsed="false">
      <c r="A52" s="14" t="n">
        <v>6</v>
      </c>
      <c r="B52" s="15" t="s">
        <v>35</v>
      </c>
      <c r="C52" s="14" t="s">
        <v>415</v>
      </c>
      <c r="D52" s="15" t="s">
        <v>416</v>
      </c>
      <c r="E52" s="14" t="s">
        <v>294</v>
      </c>
      <c r="F52" s="14" t="s">
        <v>134</v>
      </c>
      <c r="G52" s="14"/>
      <c r="H52" s="14" t="s">
        <v>69</v>
      </c>
      <c r="I52" s="14" t="s">
        <v>69</v>
      </c>
      <c r="J52" s="16" t="s">
        <v>23</v>
      </c>
      <c r="K52" s="15" t="s">
        <v>417</v>
      </c>
      <c r="L52" s="15" t="s">
        <v>418</v>
      </c>
      <c r="M52" s="15" t="s">
        <v>419</v>
      </c>
      <c r="N52" s="15" t="s">
        <v>420</v>
      </c>
      <c r="O52" s="14" t="s">
        <v>421</v>
      </c>
      <c r="P52" s="17"/>
      <c r="Q52" s="18"/>
      <c r="R52" s="19"/>
      <c r="S52" s="18"/>
    </row>
    <row r="53" customFormat="false" ht="43.25" hidden="false" customHeight="false" outlineLevel="0" collapsed="false">
      <c r="A53" s="14" t="n">
        <v>6</v>
      </c>
      <c r="B53" s="15" t="s">
        <v>35</v>
      </c>
      <c r="C53" s="14" t="s">
        <v>422</v>
      </c>
      <c r="D53" s="15" t="s">
        <v>423</v>
      </c>
      <c r="E53" s="14" t="s">
        <v>154</v>
      </c>
      <c r="F53" s="14" t="s">
        <v>155</v>
      </c>
      <c r="G53" s="14"/>
      <c r="H53" s="14"/>
      <c r="I53" s="14" t="s">
        <v>69</v>
      </c>
      <c r="J53" s="16" t="s">
        <v>23</v>
      </c>
      <c r="K53" s="15" t="s">
        <v>424</v>
      </c>
      <c r="L53" s="15" t="s">
        <v>425</v>
      </c>
      <c r="M53" s="15" t="s">
        <v>426</v>
      </c>
      <c r="N53" s="15" t="s">
        <v>427</v>
      </c>
      <c r="O53" s="14" t="s">
        <v>428</v>
      </c>
      <c r="P53" s="17"/>
      <c r="Q53" s="18"/>
      <c r="R53" s="19"/>
      <c r="S53" s="18"/>
    </row>
    <row r="54" customFormat="false" ht="43.25" hidden="false" customHeight="false" outlineLevel="0" collapsed="false">
      <c r="A54" s="14" t="n">
        <v>7</v>
      </c>
      <c r="B54" s="15" t="s">
        <v>36</v>
      </c>
      <c r="C54" s="14" t="s">
        <v>429</v>
      </c>
      <c r="D54" s="15" t="s">
        <v>430</v>
      </c>
      <c r="E54" s="14" t="s">
        <v>252</v>
      </c>
      <c r="F54" s="14" t="s">
        <v>155</v>
      </c>
      <c r="G54" s="14" t="s">
        <v>69</v>
      </c>
      <c r="H54" s="14" t="s">
        <v>69</v>
      </c>
      <c r="I54" s="14" t="s">
        <v>69</v>
      </c>
      <c r="J54" s="20" t="s">
        <v>25</v>
      </c>
      <c r="K54" s="15" t="s">
        <v>431</v>
      </c>
      <c r="L54" s="15" t="s">
        <v>432</v>
      </c>
      <c r="M54" s="15" t="s">
        <v>433</v>
      </c>
      <c r="N54" s="15" t="s">
        <v>434</v>
      </c>
      <c r="O54" s="14" t="s">
        <v>435</v>
      </c>
      <c r="P54" s="17"/>
      <c r="Q54" s="18"/>
      <c r="R54" s="19"/>
      <c r="S54" s="18"/>
    </row>
    <row r="55" customFormat="false" ht="32.8" hidden="false" customHeight="false" outlineLevel="0" collapsed="false">
      <c r="A55" s="14" t="n">
        <v>7</v>
      </c>
      <c r="B55" s="15" t="s">
        <v>36</v>
      </c>
      <c r="C55" s="14" t="s">
        <v>436</v>
      </c>
      <c r="D55" s="15" t="s">
        <v>437</v>
      </c>
      <c r="E55" s="14" t="s">
        <v>252</v>
      </c>
      <c r="F55" s="14" t="s">
        <v>155</v>
      </c>
      <c r="G55" s="14" t="s">
        <v>69</v>
      </c>
      <c r="H55" s="14" t="s">
        <v>69</v>
      </c>
      <c r="I55" s="14" t="s">
        <v>69</v>
      </c>
      <c r="J55" s="16" t="s">
        <v>23</v>
      </c>
      <c r="K55" s="15" t="s">
        <v>438</v>
      </c>
      <c r="L55" s="15" t="s">
        <v>439</v>
      </c>
      <c r="M55" s="15" t="s">
        <v>440</v>
      </c>
      <c r="N55" s="15" t="s">
        <v>441</v>
      </c>
      <c r="O55" s="14" t="s">
        <v>442</v>
      </c>
      <c r="P55" s="17"/>
      <c r="Q55" s="18"/>
      <c r="R55" s="19"/>
      <c r="S55" s="18"/>
    </row>
    <row r="56" customFormat="false" ht="43.25" hidden="false" customHeight="false" outlineLevel="0" collapsed="false">
      <c r="A56" s="14" t="n">
        <v>7</v>
      </c>
      <c r="B56" s="15" t="s">
        <v>36</v>
      </c>
      <c r="C56" s="14" t="s">
        <v>443</v>
      </c>
      <c r="D56" s="15" t="s">
        <v>444</v>
      </c>
      <c r="E56" s="14" t="s">
        <v>105</v>
      </c>
      <c r="F56" s="14" t="s">
        <v>134</v>
      </c>
      <c r="G56" s="14" t="s">
        <v>69</v>
      </c>
      <c r="H56" s="14" t="s">
        <v>69</v>
      </c>
      <c r="I56" s="14" t="s">
        <v>69</v>
      </c>
      <c r="J56" s="16" t="s">
        <v>23</v>
      </c>
      <c r="K56" s="15" t="s">
        <v>445</v>
      </c>
      <c r="L56" s="15" t="s">
        <v>446</v>
      </c>
      <c r="M56" s="15" t="s">
        <v>447</v>
      </c>
      <c r="N56" s="15" t="s">
        <v>448</v>
      </c>
      <c r="O56" s="14" t="s">
        <v>449</v>
      </c>
      <c r="P56" s="17"/>
      <c r="Q56" s="18"/>
      <c r="R56" s="19"/>
      <c r="S56" s="18"/>
    </row>
    <row r="57" customFormat="false" ht="43.25" hidden="false" customHeight="false" outlineLevel="0" collapsed="false">
      <c r="A57" s="14" t="n">
        <v>7</v>
      </c>
      <c r="B57" s="15" t="s">
        <v>36</v>
      </c>
      <c r="C57" s="14" t="s">
        <v>450</v>
      </c>
      <c r="D57" s="15" t="s">
        <v>451</v>
      </c>
      <c r="E57" s="14" t="s">
        <v>105</v>
      </c>
      <c r="F57" s="14" t="s">
        <v>134</v>
      </c>
      <c r="G57" s="14" t="s">
        <v>69</v>
      </c>
      <c r="H57" s="14" t="s">
        <v>69</v>
      </c>
      <c r="I57" s="14" t="s">
        <v>69</v>
      </c>
      <c r="J57" s="17" t="s">
        <v>24</v>
      </c>
      <c r="K57" s="15" t="s">
        <v>452</v>
      </c>
      <c r="L57" s="15" t="s">
        <v>453</v>
      </c>
      <c r="M57" s="15" t="s">
        <v>454</v>
      </c>
      <c r="N57" s="15" t="s">
        <v>455</v>
      </c>
      <c r="O57" s="14" t="s">
        <v>449</v>
      </c>
      <c r="P57" s="17"/>
      <c r="Q57" s="18"/>
      <c r="R57" s="19"/>
      <c r="S57" s="18"/>
    </row>
    <row r="58" customFormat="false" ht="53.7" hidden="false" customHeight="false" outlineLevel="0" collapsed="false">
      <c r="A58" s="14" t="n">
        <v>7</v>
      </c>
      <c r="B58" s="15" t="s">
        <v>36</v>
      </c>
      <c r="C58" s="14" t="s">
        <v>456</v>
      </c>
      <c r="D58" s="15" t="s">
        <v>457</v>
      </c>
      <c r="E58" s="14" t="s">
        <v>105</v>
      </c>
      <c r="F58" s="14" t="s">
        <v>68</v>
      </c>
      <c r="G58" s="14"/>
      <c r="H58" s="14" t="s">
        <v>69</v>
      </c>
      <c r="I58" s="14" t="s">
        <v>69</v>
      </c>
      <c r="J58" s="16" t="s">
        <v>23</v>
      </c>
      <c r="K58" s="15" t="s">
        <v>458</v>
      </c>
      <c r="L58" s="15" t="s">
        <v>459</v>
      </c>
      <c r="M58" s="15" t="s">
        <v>460</v>
      </c>
      <c r="N58" s="15" t="s">
        <v>461</v>
      </c>
      <c r="O58" s="14" t="s">
        <v>462</v>
      </c>
      <c r="P58" s="17"/>
      <c r="Q58" s="18"/>
      <c r="R58" s="19"/>
      <c r="S58" s="18"/>
    </row>
    <row r="59" customFormat="false" ht="43.25" hidden="false" customHeight="false" outlineLevel="0" collapsed="false">
      <c r="A59" s="14" t="n">
        <v>7</v>
      </c>
      <c r="B59" s="15" t="s">
        <v>36</v>
      </c>
      <c r="C59" s="14" t="s">
        <v>463</v>
      </c>
      <c r="D59" s="15" t="s">
        <v>464</v>
      </c>
      <c r="E59" s="14" t="s">
        <v>105</v>
      </c>
      <c r="F59" s="14" t="s">
        <v>68</v>
      </c>
      <c r="G59" s="14"/>
      <c r="H59" s="14" t="s">
        <v>69</v>
      </c>
      <c r="I59" s="14" t="s">
        <v>69</v>
      </c>
      <c r="J59" s="16" t="s">
        <v>23</v>
      </c>
      <c r="K59" s="15" t="s">
        <v>465</v>
      </c>
      <c r="L59" s="15" t="s">
        <v>466</v>
      </c>
      <c r="M59" s="15" t="s">
        <v>467</v>
      </c>
      <c r="N59" s="15" t="s">
        <v>468</v>
      </c>
      <c r="O59" s="14" t="s">
        <v>469</v>
      </c>
      <c r="P59" s="17"/>
      <c r="Q59" s="18"/>
      <c r="R59" s="19"/>
      <c r="S59" s="18"/>
    </row>
    <row r="60" customFormat="false" ht="32.8" hidden="false" customHeight="false" outlineLevel="0" collapsed="false">
      <c r="A60" s="14" t="n">
        <v>7</v>
      </c>
      <c r="B60" s="15" t="s">
        <v>36</v>
      </c>
      <c r="C60" s="14" t="s">
        <v>470</v>
      </c>
      <c r="D60" s="15" t="s">
        <v>471</v>
      </c>
      <c r="E60" s="14" t="s">
        <v>105</v>
      </c>
      <c r="F60" s="14" t="s">
        <v>77</v>
      </c>
      <c r="G60" s="14"/>
      <c r="H60" s="14" t="s">
        <v>69</v>
      </c>
      <c r="I60" s="14" t="s">
        <v>69</v>
      </c>
      <c r="J60" s="16" t="s">
        <v>23</v>
      </c>
      <c r="K60" s="15" t="s">
        <v>472</v>
      </c>
      <c r="L60" s="15" t="s">
        <v>473</v>
      </c>
      <c r="M60" s="15" t="s">
        <v>474</v>
      </c>
      <c r="N60" s="15" t="s">
        <v>475</v>
      </c>
      <c r="O60" s="14" t="s">
        <v>442</v>
      </c>
      <c r="P60" s="17"/>
      <c r="Q60" s="18"/>
      <c r="R60" s="19"/>
      <c r="S60" s="18"/>
    </row>
    <row r="61" customFormat="false" ht="32.8" hidden="false" customHeight="false" outlineLevel="0" collapsed="false">
      <c r="A61" s="14" t="n">
        <v>8</v>
      </c>
      <c r="B61" s="15" t="s">
        <v>37</v>
      </c>
      <c r="C61" s="14" t="s">
        <v>476</v>
      </c>
      <c r="D61" s="15" t="s">
        <v>477</v>
      </c>
      <c r="E61" s="14" t="s">
        <v>252</v>
      </c>
      <c r="F61" s="14" t="s">
        <v>155</v>
      </c>
      <c r="G61" s="14" t="s">
        <v>69</v>
      </c>
      <c r="H61" s="14" t="s">
        <v>69</v>
      </c>
      <c r="I61" s="14" t="s">
        <v>69</v>
      </c>
      <c r="J61" s="20" t="s">
        <v>25</v>
      </c>
      <c r="K61" s="15" t="s">
        <v>478</v>
      </c>
      <c r="L61" s="15" t="s">
        <v>479</v>
      </c>
      <c r="M61" s="15" t="s">
        <v>480</v>
      </c>
      <c r="N61" s="15" t="s">
        <v>481</v>
      </c>
      <c r="O61" s="14" t="s">
        <v>482</v>
      </c>
      <c r="P61" s="17"/>
      <c r="Q61" s="18"/>
      <c r="R61" s="19"/>
      <c r="S61" s="18"/>
    </row>
    <row r="62" customFormat="false" ht="43.25" hidden="false" customHeight="false" outlineLevel="0" collapsed="false">
      <c r="A62" s="14" t="n">
        <v>8</v>
      </c>
      <c r="B62" s="15" t="s">
        <v>37</v>
      </c>
      <c r="C62" s="14" t="s">
        <v>483</v>
      </c>
      <c r="D62" s="15" t="s">
        <v>484</v>
      </c>
      <c r="E62" s="14" t="s">
        <v>154</v>
      </c>
      <c r="F62" s="14" t="s">
        <v>85</v>
      </c>
      <c r="G62" s="14" t="s">
        <v>69</v>
      </c>
      <c r="H62" s="14" t="s">
        <v>69</v>
      </c>
      <c r="I62" s="14" t="s">
        <v>69</v>
      </c>
      <c r="J62" s="16" t="s">
        <v>23</v>
      </c>
      <c r="K62" s="15" t="s">
        <v>485</v>
      </c>
      <c r="L62" s="15" t="s">
        <v>486</v>
      </c>
      <c r="M62" s="15" t="s">
        <v>487</v>
      </c>
      <c r="N62" s="15" t="s">
        <v>488</v>
      </c>
      <c r="O62" s="14" t="s">
        <v>489</v>
      </c>
      <c r="P62" s="17"/>
      <c r="Q62" s="18"/>
      <c r="R62" s="19"/>
      <c r="S62" s="18"/>
    </row>
    <row r="63" customFormat="false" ht="32.8" hidden="false" customHeight="false" outlineLevel="0" collapsed="false">
      <c r="A63" s="14" t="n">
        <v>8</v>
      </c>
      <c r="B63" s="15" t="s">
        <v>37</v>
      </c>
      <c r="C63" s="14" t="s">
        <v>490</v>
      </c>
      <c r="D63" s="15" t="s">
        <v>491</v>
      </c>
      <c r="E63" s="14" t="s">
        <v>154</v>
      </c>
      <c r="F63" s="14" t="s">
        <v>134</v>
      </c>
      <c r="G63" s="14" t="s">
        <v>69</v>
      </c>
      <c r="H63" s="14" t="s">
        <v>69</v>
      </c>
      <c r="I63" s="14" t="s">
        <v>69</v>
      </c>
      <c r="J63" s="16" t="s">
        <v>23</v>
      </c>
      <c r="K63" s="15" t="s">
        <v>492</v>
      </c>
      <c r="L63" s="15" t="s">
        <v>493</v>
      </c>
      <c r="M63" s="15" t="s">
        <v>494</v>
      </c>
      <c r="N63" s="15" t="s">
        <v>495</v>
      </c>
      <c r="O63" s="14" t="s">
        <v>496</v>
      </c>
      <c r="P63" s="17"/>
      <c r="Q63" s="18"/>
      <c r="R63" s="19"/>
      <c r="S63" s="18"/>
    </row>
    <row r="64" customFormat="false" ht="32.8" hidden="false" customHeight="false" outlineLevel="0" collapsed="false">
      <c r="A64" s="14" t="n">
        <v>8</v>
      </c>
      <c r="B64" s="15" t="s">
        <v>37</v>
      </c>
      <c r="C64" s="14" t="s">
        <v>497</v>
      </c>
      <c r="D64" s="15" t="s">
        <v>498</v>
      </c>
      <c r="E64" s="14" t="s">
        <v>230</v>
      </c>
      <c r="F64" s="14" t="s">
        <v>134</v>
      </c>
      <c r="G64" s="14"/>
      <c r="H64" s="14" t="s">
        <v>69</v>
      </c>
      <c r="I64" s="14" t="s">
        <v>69</v>
      </c>
      <c r="J64" s="16" t="s">
        <v>23</v>
      </c>
      <c r="K64" s="15" t="s">
        <v>499</v>
      </c>
      <c r="L64" s="15" t="s">
        <v>500</v>
      </c>
      <c r="M64" s="15" t="s">
        <v>501</v>
      </c>
      <c r="N64" s="15" t="s">
        <v>481</v>
      </c>
      <c r="O64" s="14" t="s">
        <v>502</v>
      </c>
      <c r="P64" s="17"/>
      <c r="Q64" s="18"/>
      <c r="R64" s="19"/>
      <c r="S64" s="18"/>
    </row>
    <row r="65" customFormat="false" ht="53.7" hidden="false" customHeight="false" outlineLevel="0" collapsed="false">
      <c r="A65" s="14" t="n">
        <v>8</v>
      </c>
      <c r="B65" s="15" t="s">
        <v>37</v>
      </c>
      <c r="C65" s="14" t="s">
        <v>503</v>
      </c>
      <c r="D65" s="15" t="s">
        <v>504</v>
      </c>
      <c r="E65" s="14" t="s">
        <v>154</v>
      </c>
      <c r="F65" s="14" t="s">
        <v>85</v>
      </c>
      <c r="G65" s="14"/>
      <c r="H65" s="14" t="s">
        <v>69</v>
      </c>
      <c r="I65" s="14" t="s">
        <v>69</v>
      </c>
      <c r="J65" s="16" t="s">
        <v>23</v>
      </c>
      <c r="K65" s="15" t="s">
        <v>505</v>
      </c>
      <c r="L65" s="15" t="s">
        <v>506</v>
      </c>
      <c r="M65" s="15" t="s">
        <v>507</v>
      </c>
      <c r="N65" s="15" t="s">
        <v>508</v>
      </c>
      <c r="O65" s="14" t="s">
        <v>489</v>
      </c>
      <c r="P65" s="17"/>
      <c r="Q65" s="18"/>
      <c r="R65" s="19"/>
      <c r="S65" s="18"/>
    </row>
    <row r="66" customFormat="false" ht="64.15" hidden="false" customHeight="false" outlineLevel="0" collapsed="false">
      <c r="A66" s="14" t="n">
        <v>8</v>
      </c>
      <c r="B66" s="15" t="s">
        <v>37</v>
      </c>
      <c r="C66" s="14" t="s">
        <v>509</v>
      </c>
      <c r="D66" s="15" t="s">
        <v>510</v>
      </c>
      <c r="E66" s="14" t="s">
        <v>154</v>
      </c>
      <c r="F66" s="14" t="s">
        <v>85</v>
      </c>
      <c r="G66" s="14"/>
      <c r="H66" s="14" t="s">
        <v>69</v>
      </c>
      <c r="I66" s="14" t="s">
        <v>69</v>
      </c>
      <c r="J66" s="16" t="s">
        <v>23</v>
      </c>
      <c r="K66" s="15" t="s">
        <v>511</v>
      </c>
      <c r="L66" s="15" t="s">
        <v>512</v>
      </c>
      <c r="M66" s="15" t="s">
        <v>513</v>
      </c>
      <c r="N66" s="15" t="s">
        <v>514</v>
      </c>
      <c r="O66" s="14" t="s">
        <v>515</v>
      </c>
      <c r="P66" s="17"/>
      <c r="Q66" s="18"/>
      <c r="R66" s="19"/>
      <c r="S66" s="18"/>
    </row>
    <row r="67" customFormat="false" ht="53.7" hidden="false" customHeight="false" outlineLevel="0" collapsed="false">
      <c r="A67" s="14" t="n">
        <v>8</v>
      </c>
      <c r="B67" s="15" t="s">
        <v>37</v>
      </c>
      <c r="C67" s="14" t="s">
        <v>516</v>
      </c>
      <c r="D67" s="15" t="s">
        <v>517</v>
      </c>
      <c r="E67" s="14" t="s">
        <v>154</v>
      </c>
      <c r="F67" s="14" t="s">
        <v>85</v>
      </c>
      <c r="G67" s="14"/>
      <c r="H67" s="14" t="s">
        <v>69</v>
      </c>
      <c r="I67" s="14" t="s">
        <v>69</v>
      </c>
      <c r="J67" s="16" t="s">
        <v>23</v>
      </c>
      <c r="K67" s="15" t="s">
        <v>518</v>
      </c>
      <c r="L67" s="15" t="s">
        <v>519</v>
      </c>
      <c r="M67" s="15" t="s">
        <v>520</v>
      </c>
      <c r="N67" s="15" t="s">
        <v>521</v>
      </c>
      <c r="O67" s="14" t="s">
        <v>522</v>
      </c>
      <c r="P67" s="17"/>
      <c r="Q67" s="18"/>
      <c r="R67" s="19"/>
      <c r="S67" s="18"/>
    </row>
    <row r="68" customFormat="false" ht="43.25" hidden="false" customHeight="false" outlineLevel="0" collapsed="false">
      <c r="A68" s="14" t="n">
        <v>8</v>
      </c>
      <c r="B68" s="15" t="s">
        <v>37</v>
      </c>
      <c r="C68" s="14" t="s">
        <v>523</v>
      </c>
      <c r="D68" s="15" t="s">
        <v>524</v>
      </c>
      <c r="E68" s="14" t="s">
        <v>154</v>
      </c>
      <c r="F68" s="14" t="s">
        <v>85</v>
      </c>
      <c r="G68" s="14"/>
      <c r="H68" s="14" t="s">
        <v>69</v>
      </c>
      <c r="I68" s="14" t="s">
        <v>69</v>
      </c>
      <c r="J68" s="16" t="s">
        <v>23</v>
      </c>
      <c r="K68" s="15" t="s">
        <v>525</v>
      </c>
      <c r="L68" s="15" t="s">
        <v>526</v>
      </c>
      <c r="M68" s="15" t="s">
        <v>527</v>
      </c>
      <c r="N68" s="15" t="s">
        <v>528</v>
      </c>
      <c r="O68" s="14" t="s">
        <v>529</v>
      </c>
      <c r="P68" s="17"/>
      <c r="Q68" s="18"/>
      <c r="R68" s="19"/>
      <c r="S68" s="18"/>
    </row>
    <row r="69" customFormat="false" ht="32.8" hidden="false" customHeight="false" outlineLevel="0" collapsed="false">
      <c r="A69" s="14" t="n">
        <v>8</v>
      </c>
      <c r="B69" s="15" t="s">
        <v>37</v>
      </c>
      <c r="C69" s="14" t="s">
        <v>530</v>
      </c>
      <c r="D69" s="15" t="s">
        <v>531</v>
      </c>
      <c r="E69" s="14" t="s">
        <v>154</v>
      </c>
      <c r="F69" s="14" t="s">
        <v>85</v>
      </c>
      <c r="G69" s="14"/>
      <c r="H69" s="14" t="s">
        <v>69</v>
      </c>
      <c r="I69" s="14" t="s">
        <v>69</v>
      </c>
      <c r="J69" s="16" t="s">
        <v>23</v>
      </c>
      <c r="K69" s="15" t="s">
        <v>532</v>
      </c>
      <c r="L69" s="15" t="s">
        <v>533</v>
      </c>
      <c r="M69" s="15" t="s">
        <v>534</v>
      </c>
      <c r="N69" s="15" t="s">
        <v>535</v>
      </c>
      <c r="O69" s="14" t="s">
        <v>536</v>
      </c>
      <c r="P69" s="17"/>
      <c r="Q69" s="18"/>
      <c r="R69" s="19"/>
      <c r="S69" s="18"/>
    </row>
    <row r="70" customFormat="false" ht="32.8" hidden="false" customHeight="false" outlineLevel="0" collapsed="false">
      <c r="A70" s="14" t="n">
        <v>8</v>
      </c>
      <c r="B70" s="15" t="s">
        <v>37</v>
      </c>
      <c r="C70" s="14" t="s">
        <v>537</v>
      </c>
      <c r="D70" s="15" t="s">
        <v>538</v>
      </c>
      <c r="E70" s="14" t="s">
        <v>154</v>
      </c>
      <c r="F70" s="14" t="s">
        <v>134</v>
      </c>
      <c r="G70" s="14"/>
      <c r="H70" s="14" t="s">
        <v>69</v>
      </c>
      <c r="I70" s="14" t="s">
        <v>69</v>
      </c>
      <c r="J70" s="16" t="s">
        <v>23</v>
      </c>
      <c r="K70" s="15" t="s">
        <v>539</v>
      </c>
      <c r="L70" s="15" t="s">
        <v>540</v>
      </c>
      <c r="M70" s="15" t="s">
        <v>541</v>
      </c>
      <c r="N70" s="15" t="s">
        <v>542</v>
      </c>
      <c r="O70" s="14" t="s">
        <v>496</v>
      </c>
      <c r="P70" s="17"/>
      <c r="Q70" s="18"/>
      <c r="R70" s="19"/>
      <c r="S70" s="18"/>
    </row>
    <row r="71" customFormat="false" ht="32.8" hidden="false" customHeight="false" outlineLevel="0" collapsed="false">
      <c r="A71" s="14" t="n">
        <v>8</v>
      </c>
      <c r="B71" s="15" t="s">
        <v>37</v>
      </c>
      <c r="C71" s="14" t="s">
        <v>543</v>
      </c>
      <c r="D71" s="15" t="s">
        <v>544</v>
      </c>
      <c r="E71" s="14" t="s">
        <v>154</v>
      </c>
      <c r="F71" s="14" t="s">
        <v>85</v>
      </c>
      <c r="G71" s="14"/>
      <c r="H71" s="14" t="s">
        <v>69</v>
      </c>
      <c r="I71" s="14" t="s">
        <v>69</v>
      </c>
      <c r="J71" s="16" t="s">
        <v>23</v>
      </c>
      <c r="K71" s="15" t="s">
        <v>545</v>
      </c>
      <c r="L71" s="15" t="s">
        <v>546</v>
      </c>
      <c r="M71" s="15" t="s">
        <v>547</v>
      </c>
      <c r="N71" s="15" t="s">
        <v>548</v>
      </c>
      <c r="O71" s="14" t="s">
        <v>549</v>
      </c>
      <c r="P71" s="17"/>
      <c r="Q71" s="18"/>
      <c r="R71" s="19"/>
      <c r="S71" s="18"/>
    </row>
    <row r="72" customFormat="false" ht="43.25" hidden="false" customHeight="false" outlineLevel="0" collapsed="false">
      <c r="A72" s="14" t="n">
        <v>8</v>
      </c>
      <c r="B72" s="15" t="s">
        <v>37</v>
      </c>
      <c r="C72" s="14" t="s">
        <v>550</v>
      </c>
      <c r="D72" s="15" t="s">
        <v>551</v>
      </c>
      <c r="E72" s="14" t="s">
        <v>154</v>
      </c>
      <c r="F72" s="14" t="s">
        <v>85</v>
      </c>
      <c r="G72" s="14"/>
      <c r="H72" s="14"/>
      <c r="I72" s="14" t="s">
        <v>69</v>
      </c>
      <c r="J72" s="16" t="s">
        <v>23</v>
      </c>
      <c r="K72" s="15" t="s">
        <v>552</v>
      </c>
      <c r="L72" s="15" t="s">
        <v>553</v>
      </c>
      <c r="M72" s="15" t="s">
        <v>554</v>
      </c>
      <c r="N72" s="15" t="s">
        <v>555</v>
      </c>
      <c r="O72" s="14" t="s">
        <v>556</v>
      </c>
      <c r="P72" s="17"/>
      <c r="Q72" s="18"/>
      <c r="R72" s="19"/>
      <c r="S72" s="18"/>
    </row>
    <row r="73" customFormat="false" ht="43.25" hidden="false" customHeight="false" outlineLevel="0" collapsed="false">
      <c r="A73" s="14" t="n">
        <v>9</v>
      </c>
      <c r="B73" s="15" t="s">
        <v>38</v>
      </c>
      <c r="C73" s="14" t="s">
        <v>557</v>
      </c>
      <c r="D73" s="15" t="s">
        <v>558</v>
      </c>
      <c r="E73" s="14" t="s">
        <v>105</v>
      </c>
      <c r="F73" s="14" t="s">
        <v>134</v>
      </c>
      <c r="G73" s="14" t="s">
        <v>69</v>
      </c>
      <c r="H73" s="14" t="s">
        <v>69</v>
      </c>
      <c r="I73" s="14" t="s">
        <v>69</v>
      </c>
      <c r="J73" s="16" t="s">
        <v>23</v>
      </c>
      <c r="K73" s="15" t="s">
        <v>559</v>
      </c>
      <c r="L73" s="15" t="s">
        <v>560</v>
      </c>
      <c r="M73" s="15" t="s">
        <v>561</v>
      </c>
      <c r="N73" s="15" t="s">
        <v>331</v>
      </c>
      <c r="O73" s="14" t="s">
        <v>562</v>
      </c>
      <c r="P73" s="17"/>
      <c r="Q73" s="18"/>
      <c r="R73" s="19"/>
      <c r="S73" s="18"/>
    </row>
    <row r="74" customFormat="false" ht="53.7" hidden="false" customHeight="false" outlineLevel="0" collapsed="false">
      <c r="A74" s="14" t="n">
        <v>9</v>
      </c>
      <c r="B74" s="15" t="s">
        <v>38</v>
      </c>
      <c r="C74" s="14" t="s">
        <v>563</v>
      </c>
      <c r="D74" s="15" t="s">
        <v>564</v>
      </c>
      <c r="E74" s="14" t="s">
        <v>230</v>
      </c>
      <c r="F74" s="14" t="s">
        <v>134</v>
      </c>
      <c r="G74" s="14" t="s">
        <v>69</v>
      </c>
      <c r="H74" s="14" t="s">
        <v>69</v>
      </c>
      <c r="I74" s="14" t="s">
        <v>69</v>
      </c>
      <c r="J74" s="16" t="s">
        <v>23</v>
      </c>
      <c r="K74" s="15" t="s">
        <v>565</v>
      </c>
      <c r="L74" s="15" t="s">
        <v>566</v>
      </c>
      <c r="M74" s="15" t="s">
        <v>567</v>
      </c>
      <c r="N74" s="15" t="s">
        <v>568</v>
      </c>
      <c r="O74" s="14" t="s">
        <v>569</v>
      </c>
      <c r="P74" s="17"/>
      <c r="Q74" s="18"/>
      <c r="R74" s="19"/>
      <c r="S74" s="18"/>
    </row>
    <row r="75" customFormat="false" ht="43.25" hidden="false" customHeight="false" outlineLevel="0" collapsed="false">
      <c r="A75" s="14" t="n">
        <v>9</v>
      </c>
      <c r="B75" s="15" t="s">
        <v>38</v>
      </c>
      <c r="C75" s="14" t="s">
        <v>570</v>
      </c>
      <c r="D75" s="15" t="s">
        <v>571</v>
      </c>
      <c r="E75" s="14" t="s">
        <v>230</v>
      </c>
      <c r="F75" s="14" t="s">
        <v>134</v>
      </c>
      <c r="G75" s="14"/>
      <c r="H75" s="14" t="s">
        <v>69</v>
      </c>
      <c r="I75" s="14" t="s">
        <v>69</v>
      </c>
      <c r="J75" s="16" t="s">
        <v>23</v>
      </c>
      <c r="K75" s="15" t="s">
        <v>572</v>
      </c>
      <c r="L75" s="15" t="s">
        <v>573</v>
      </c>
      <c r="M75" s="15" t="s">
        <v>574</v>
      </c>
      <c r="N75" s="15" t="s">
        <v>575</v>
      </c>
      <c r="O75" s="14" t="s">
        <v>576</v>
      </c>
      <c r="P75" s="17"/>
      <c r="Q75" s="18"/>
      <c r="R75" s="19"/>
      <c r="S75" s="18"/>
    </row>
    <row r="76" customFormat="false" ht="53.7" hidden="false" customHeight="false" outlineLevel="0" collapsed="false">
      <c r="A76" s="14" t="n">
        <v>9</v>
      </c>
      <c r="B76" s="15" t="s">
        <v>38</v>
      </c>
      <c r="C76" s="14" t="s">
        <v>577</v>
      </c>
      <c r="D76" s="15" t="s">
        <v>578</v>
      </c>
      <c r="E76" s="14" t="s">
        <v>105</v>
      </c>
      <c r="F76" s="14" t="s">
        <v>134</v>
      </c>
      <c r="G76" s="14"/>
      <c r="H76" s="14" t="s">
        <v>69</v>
      </c>
      <c r="I76" s="14" t="s">
        <v>69</v>
      </c>
      <c r="J76" s="16" t="s">
        <v>23</v>
      </c>
      <c r="K76" s="15" t="s">
        <v>579</v>
      </c>
      <c r="L76" s="15" t="s">
        <v>580</v>
      </c>
      <c r="M76" s="15" t="s">
        <v>581</v>
      </c>
      <c r="N76" s="15" t="s">
        <v>582</v>
      </c>
      <c r="O76" s="14" t="s">
        <v>583</v>
      </c>
      <c r="P76" s="17"/>
      <c r="Q76" s="18"/>
      <c r="R76" s="19"/>
      <c r="S76" s="18"/>
    </row>
    <row r="77" customFormat="false" ht="43.25" hidden="false" customHeight="false" outlineLevel="0" collapsed="false">
      <c r="A77" s="14" t="n">
        <v>9</v>
      </c>
      <c r="B77" s="15" t="s">
        <v>38</v>
      </c>
      <c r="C77" s="14" t="s">
        <v>584</v>
      </c>
      <c r="D77" s="15" t="s">
        <v>585</v>
      </c>
      <c r="E77" s="14" t="s">
        <v>230</v>
      </c>
      <c r="F77" s="14" t="s">
        <v>134</v>
      </c>
      <c r="G77" s="14"/>
      <c r="H77" s="14" t="s">
        <v>69</v>
      </c>
      <c r="I77" s="14" t="s">
        <v>69</v>
      </c>
      <c r="J77" s="16" t="s">
        <v>23</v>
      </c>
      <c r="K77" s="15" t="s">
        <v>586</v>
      </c>
      <c r="L77" s="15" t="s">
        <v>587</v>
      </c>
      <c r="M77" s="15" t="s">
        <v>588</v>
      </c>
      <c r="N77" s="15" t="s">
        <v>589</v>
      </c>
      <c r="O77" s="14" t="s">
        <v>576</v>
      </c>
      <c r="P77" s="17"/>
      <c r="Q77" s="18"/>
      <c r="R77" s="19"/>
      <c r="S77" s="18"/>
    </row>
    <row r="78" customFormat="false" ht="43.25" hidden="false" customHeight="false" outlineLevel="0" collapsed="false">
      <c r="A78" s="14" t="n">
        <v>9</v>
      </c>
      <c r="B78" s="15" t="s">
        <v>38</v>
      </c>
      <c r="C78" s="14" t="s">
        <v>590</v>
      </c>
      <c r="D78" s="15" t="s">
        <v>591</v>
      </c>
      <c r="E78" s="14" t="s">
        <v>230</v>
      </c>
      <c r="F78" s="14" t="s">
        <v>134</v>
      </c>
      <c r="G78" s="14"/>
      <c r="H78" s="14" t="s">
        <v>69</v>
      </c>
      <c r="I78" s="14" t="s">
        <v>69</v>
      </c>
      <c r="J78" s="16" t="s">
        <v>23</v>
      </c>
      <c r="K78" s="15" t="s">
        <v>592</v>
      </c>
      <c r="L78" s="15" t="s">
        <v>593</v>
      </c>
      <c r="M78" s="15" t="s">
        <v>594</v>
      </c>
      <c r="N78" s="15" t="s">
        <v>595</v>
      </c>
      <c r="O78" s="14" t="s">
        <v>596</v>
      </c>
      <c r="P78" s="17"/>
      <c r="Q78" s="18"/>
      <c r="R78" s="19"/>
      <c r="S78" s="18"/>
    </row>
    <row r="79" customFormat="false" ht="43.25" hidden="false" customHeight="false" outlineLevel="0" collapsed="false">
      <c r="A79" s="14" t="n">
        <v>9</v>
      </c>
      <c r="B79" s="15" t="s">
        <v>38</v>
      </c>
      <c r="C79" s="14" t="s">
        <v>597</v>
      </c>
      <c r="D79" s="15" t="s">
        <v>598</v>
      </c>
      <c r="E79" s="14" t="s">
        <v>230</v>
      </c>
      <c r="F79" s="14" t="s">
        <v>134</v>
      </c>
      <c r="G79" s="14"/>
      <c r="H79" s="14"/>
      <c r="I79" s="14" t="s">
        <v>69</v>
      </c>
      <c r="J79" s="16" t="s">
        <v>23</v>
      </c>
      <c r="K79" s="15" t="s">
        <v>599</v>
      </c>
      <c r="L79" s="15" t="s">
        <v>600</v>
      </c>
      <c r="M79" s="15" t="s">
        <v>601</v>
      </c>
      <c r="N79" s="15" t="s">
        <v>602</v>
      </c>
      <c r="O79" s="14" t="s">
        <v>603</v>
      </c>
      <c r="P79" s="17"/>
      <c r="Q79" s="18"/>
      <c r="R79" s="19"/>
      <c r="S79" s="18"/>
    </row>
    <row r="80" customFormat="false" ht="32.8" hidden="false" customHeight="false" outlineLevel="0" collapsed="false">
      <c r="A80" s="14" t="n">
        <v>10</v>
      </c>
      <c r="B80" s="15" t="s">
        <v>39</v>
      </c>
      <c r="C80" s="14" t="s">
        <v>604</v>
      </c>
      <c r="D80" s="15" t="s">
        <v>605</v>
      </c>
      <c r="E80" s="14" t="s">
        <v>67</v>
      </c>
      <c r="F80" s="14" t="s">
        <v>134</v>
      </c>
      <c r="G80" s="14" t="s">
        <v>69</v>
      </c>
      <c r="H80" s="14" t="s">
        <v>69</v>
      </c>
      <c r="I80" s="14" t="s">
        <v>69</v>
      </c>
      <c r="J80" s="16" t="s">
        <v>23</v>
      </c>
      <c r="K80" s="15" t="s">
        <v>606</v>
      </c>
      <c r="L80" s="15" t="s">
        <v>607</v>
      </c>
      <c r="M80" s="15" t="s">
        <v>608</v>
      </c>
      <c r="N80" s="15" t="s">
        <v>609</v>
      </c>
      <c r="O80" s="14" t="s">
        <v>610</v>
      </c>
      <c r="P80" s="17"/>
      <c r="Q80" s="18"/>
      <c r="R80" s="19"/>
      <c r="S80" s="18"/>
    </row>
    <row r="81" customFormat="false" ht="32.8" hidden="false" customHeight="false" outlineLevel="0" collapsed="false">
      <c r="A81" s="14" t="n">
        <v>10</v>
      </c>
      <c r="B81" s="15" t="s">
        <v>39</v>
      </c>
      <c r="C81" s="14" t="s">
        <v>611</v>
      </c>
      <c r="D81" s="15" t="s">
        <v>612</v>
      </c>
      <c r="E81" s="14" t="s">
        <v>67</v>
      </c>
      <c r="F81" s="14" t="s">
        <v>134</v>
      </c>
      <c r="G81" s="14" t="s">
        <v>69</v>
      </c>
      <c r="H81" s="14" t="s">
        <v>69</v>
      </c>
      <c r="I81" s="14" t="s">
        <v>69</v>
      </c>
      <c r="J81" s="16" t="s">
        <v>23</v>
      </c>
      <c r="K81" s="15" t="s">
        <v>613</v>
      </c>
      <c r="L81" s="15" t="s">
        <v>614</v>
      </c>
      <c r="M81" s="15" t="s">
        <v>615</v>
      </c>
      <c r="N81" s="15" t="s">
        <v>616</v>
      </c>
      <c r="O81" s="14" t="s">
        <v>617</v>
      </c>
      <c r="P81" s="17"/>
      <c r="Q81" s="18"/>
      <c r="R81" s="19"/>
      <c r="S81" s="18"/>
    </row>
    <row r="82" customFormat="false" ht="43.25" hidden="false" customHeight="false" outlineLevel="0" collapsed="false">
      <c r="A82" s="14" t="n">
        <v>10</v>
      </c>
      <c r="B82" s="15" t="s">
        <v>39</v>
      </c>
      <c r="C82" s="14" t="s">
        <v>618</v>
      </c>
      <c r="D82" s="15" t="s">
        <v>619</v>
      </c>
      <c r="E82" s="14" t="s">
        <v>67</v>
      </c>
      <c r="F82" s="14" t="s">
        <v>134</v>
      </c>
      <c r="G82" s="14" t="s">
        <v>69</v>
      </c>
      <c r="H82" s="14" t="s">
        <v>69</v>
      </c>
      <c r="I82" s="14" t="s">
        <v>69</v>
      </c>
      <c r="J82" s="16" t="s">
        <v>23</v>
      </c>
      <c r="K82" s="15" t="s">
        <v>620</v>
      </c>
      <c r="L82" s="15" t="s">
        <v>621</v>
      </c>
      <c r="M82" s="15" t="s">
        <v>622</v>
      </c>
      <c r="N82" s="15" t="s">
        <v>623</v>
      </c>
      <c r="O82" s="14" t="s">
        <v>319</v>
      </c>
      <c r="P82" s="17"/>
      <c r="Q82" s="18"/>
      <c r="R82" s="19"/>
      <c r="S82" s="18"/>
    </row>
    <row r="83" customFormat="false" ht="32.8" hidden="false" customHeight="false" outlineLevel="0" collapsed="false">
      <c r="A83" s="14" t="n">
        <v>10</v>
      </c>
      <c r="B83" s="15" t="s">
        <v>39</v>
      </c>
      <c r="C83" s="14" t="s">
        <v>624</v>
      </c>
      <c r="D83" s="15" t="s">
        <v>625</v>
      </c>
      <c r="E83" s="14" t="s">
        <v>67</v>
      </c>
      <c r="F83" s="14" t="s">
        <v>85</v>
      </c>
      <c r="G83" s="14"/>
      <c r="H83" s="14" t="s">
        <v>69</v>
      </c>
      <c r="I83" s="14" t="s">
        <v>69</v>
      </c>
      <c r="J83" s="16" t="s">
        <v>23</v>
      </c>
      <c r="K83" s="15" t="s">
        <v>626</v>
      </c>
      <c r="L83" s="15" t="s">
        <v>627</v>
      </c>
      <c r="M83" s="15" t="s">
        <v>628</v>
      </c>
      <c r="N83" s="15" t="s">
        <v>616</v>
      </c>
      <c r="O83" s="14" t="s">
        <v>629</v>
      </c>
      <c r="P83" s="17"/>
      <c r="Q83" s="18"/>
      <c r="R83" s="19"/>
      <c r="S83" s="18"/>
    </row>
    <row r="84" customFormat="false" ht="53.7" hidden="false" customHeight="false" outlineLevel="0" collapsed="false">
      <c r="A84" s="14" t="n">
        <v>10</v>
      </c>
      <c r="B84" s="15" t="s">
        <v>39</v>
      </c>
      <c r="C84" s="14" t="s">
        <v>630</v>
      </c>
      <c r="D84" s="15" t="s">
        <v>631</v>
      </c>
      <c r="E84" s="14" t="s">
        <v>67</v>
      </c>
      <c r="F84" s="14" t="s">
        <v>134</v>
      </c>
      <c r="G84" s="14"/>
      <c r="H84" s="14" t="s">
        <v>69</v>
      </c>
      <c r="I84" s="14" t="s">
        <v>69</v>
      </c>
      <c r="J84" s="16" t="s">
        <v>23</v>
      </c>
      <c r="K84" s="15" t="s">
        <v>632</v>
      </c>
      <c r="L84" s="15" t="s">
        <v>633</v>
      </c>
      <c r="M84" s="15" t="s">
        <v>634</v>
      </c>
      <c r="N84" s="15" t="s">
        <v>635</v>
      </c>
      <c r="O84" s="14" t="s">
        <v>319</v>
      </c>
      <c r="P84" s="17"/>
      <c r="Q84" s="18"/>
      <c r="R84" s="19"/>
      <c r="S84" s="18"/>
    </row>
    <row r="85" customFormat="false" ht="32.8" hidden="false" customHeight="false" outlineLevel="0" collapsed="false">
      <c r="A85" s="14" t="n">
        <v>10</v>
      </c>
      <c r="B85" s="15" t="s">
        <v>39</v>
      </c>
      <c r="C85" s="14" t="s">
        <v>636</v>
      </c>
      <c r="D85" s="15" t="s">
        <v>637</v>
      </c>
      <c r="E85" s="14" t="s">
        <v>67</v>
      </c>
      <c r="F85" s="14" t="s">
        <v>134</v>
      </c>
      <c r="G85" s="14"/>
      <c r="H85" s="14" t="s">
        <v>69</v>
      </c>
      <c r="I85" s="14" t="s">
        <v>69</v>
      </c>
      <c r="J85" s="16" t="s">
        <v>23</v>
      </c>
      <c r="K85" s="15" t="s">
        <v>638</v>
      </c>
      <c r="L85" s="15" t="s">
        <v>639</v>
      </c>
      <c r="M85" s="15" t="s">
        <v>640</v>
      </c>
      <c r="N85" s="15" t="s">
        <v>641</v>
      </c>
      <c r="O85" s="14" t="s">
        <v>642</v>
      </c>
      <c r="P85" s="17"/>
      <c r="Q85" s="18"/>
      <c r="R85" s="19"/>
      <c r="S85" s="18"/>
    </row>
    <row r="86" customFormat="false" ht="43.25" hidden="false" customHeight="false" outlineLevel="0" collapsed="false">
      <c r="A86" s="14" t="n">
        <v>10</v>
      </c>
      <c r="B86" s="15" t="s">
        <v>39</v>
      </c>
      <c r="C86" s="14" t="s">
        <v>643</v>
      </c>
      <c r="D86" s="15" t="s">
        <v>644</v>
      </c>
      <c r="E86" s="14" t="s">
        <v>67</v>
      </c>
      <c r="F86" s="14" t="s">
        <v>85</v>
      </c>
      <c r="G86" s="14"/>
      <c r="H86" s="14" t="s">
        <v>69</v>
      </c>
      <c r="I86" s="14" t="s">
        <v>69</v>
      </c>
      <c r="J86" s="16" t="s">
        <v>23</v>
      </c>
      <c r="K86" s="15" t="s">
        <v>645</v>
      </c>
      <c r="L86" s="15" t="s">
        <v>646</v>
      </c>
      <c r="M86" s="15" t="s">
        <v>647</v>
      </c>
      <c r="N86" s="15" t="s">
        <v>648</v>
      </c>
      <c r="O86" s="14" t="s">
        <v>649</v>
      </c>
      <c r="P86" s="17"/>
      <c r="Q86" s="18"/>
      <c r="R86" s="19"/>
      <c r="S86" s="18"/>
    </row>
    <row r="87" customFormat="false" ht="32.8" hidden="false" customHeight="false" outlineLevel="0" collapsed="false">
      <c r="A87" s="14" t="n">
        <v>11</v>
      </c>
      <c r="B87" s="15" t="s">
        <v>40</v>
      </c>
      <c r="C87" s="14" t="s">
        <v>650</v>
      </c>
      <c r="D87" s="15" t="s">
        <v>651</v>
      </c>
      <c r="E87" s="14" t="s">
        <v>252</v>
      </c>
      <c r="F87" s="14" t="s">
        <v>155</v>
      </c>
      <c r="G87" s="14" t="s">
        <v>69</v>
      </c>
      <c r="H87" s="14" t="s">
        <v>69</v>
      </c>
      <c r="I87" s="14" t="s">
        <v>69</v>
      </c>
      <c r="J87" s="20" t="s">
        <v>25</v>
      </c>
      <c r="K87" s="15" t="s">
        <v>652</v>
      </c>
      <c r="L87" s="15" t="s">
        <v>653</v>
      </c>
      <c r="M87" s="15" t="s">
        <v>654</v>
      </c>
      <c r="N87" s="15" t="s">
        <v>481</v>
      </c>
      <c r="O87" s="14" t="s">
        <v>655</v>
      </c>
      <c r="P87" s="17"/>
      <c r="Q87" s="18"/>
      <c r="R87" s="19"/>
      <c r="S87" s="18"/>
    </row>
    <row r="88" customFormat="false" ht="43.25" hidden="false" customHeight="false" outlineLevel="0" collapsed="false">
      <c r="A88" s="14" t="n">
        <v>11</v>
      </c>
      <c r="B88" s="15" t="s">
        <v>40</v>
      </c>
      <c r="C88" s="14" t="s">
        <v>656</v>
      </c>
      <c r="D88" s="15" t="s">
        <v>657</v>
      </c>
      <c r="E88" s="14" t="s">
        <v>154</v>
      </c>
      <c r="F88" s="14" t="s">
        <v>658</v>
      </c>
      <c r="G88" s="14" t="s">
        <v>69</v>
      </c>
      <c r="H88" s="14" t="s">
        <v>69</v>
      </c>
      <c r="I88" s="14" t="s">
        <v>69</v>
      </c>
      <c r="J88" s="16" t="s">
        <v>23</v>
      </c>
      <c r="K88" s="15" t="s">
        <v>659</v>
      </c>
      <c r="L88" s="15" t="s">
        <v>660</v>
      </c>
      <c r="M88" s="15" t="s">
        <v>661</v>
      </c>
      <c r="N88" s="15" t="s">
        <v>662</v>
      </c>
      <c r="O88" s="14" t="s">
        <v>663</v>
      </c>
      <c r="P88" s="17"/>
      <c r="Q88" s="18"/>
      <c r="R88" s="19"/>
      <c r="S88" s="18"/>
    </row>
    <row r="89" customFormat="false" ht="43.25" hidden="false" customHeight="false" outlineLevel="0" collapsed="false">
      <c r="A89" s="14" t="n">
        <v>11</v>
      </c>
      <c r="B89" s="15" t="s">
        <v>40</v>
      </c>
      <c r="C89" s="14" t="s">
        <v>664</v>
      </c>
      <c r="D89" s="15" t="s">
        <v>665</v>
      </c>
      <c r="E89" s="14" t="s">
        <v>154</v>
      </c>
      <c r="F89" s="14" t="s">
        <v>134</v>
      </c>
      <c r="G89" s="14" t="s">
        <v>69</v>
      </c>
      <c r="H89" s="14" t="s">
        <v>69</v>
      </c>
      <c r="I89" s="14" t="s">
        <v>69</v>
      </c>
      <c r="J89" s="16" t="s">
        <v>23</v>
      </c>
      <c r="K89" s="15" t="s">
        <v>666</v>
      </c>
      <c r="L89" s="15" t="s">
        <v>667</v>
      </c>
      <c r="M89" s="15" t="s">
        <v>668</v>
      </c>
      <c r="N89" s="15" t="s">
        <v>669</v>
      </c>
      <c r="O89" s="14" t="s">
        <v>670</v>
      </c>
      <c r="P89" s="17"/>
      <c r="Q89" s="18"/>
      <c r="R89" s="19"/>
      <c r="S89" s="18"/>
    </row>
    <row r="90" customFormat="false" ht="53.7" hidden="false" customHeight="false" outlineLevel="0" collapsed="false">
      <c r="A90" s="14" t="n">
        <v>11</v>
      </c>
      <c r="B90" s="15" t="s">
        <v>40</v>
      </c>
      <c r="C90" s="14" t="s">
        <v>671</v>
      </c>
      <c r="D90" s="15" t="s">
        <v>672</v>
      </c>
      <c r="E90" s="14" t="s">
        <v>154</v>
      </c>
      <c r="F90" s="14" t="s">
        <v>658</v>
      </c>
      <c r="G90" s="14" t="s">
        <v>69</v>
      </c>
      <c r="H90" s="14" t="s">
        <v>69</v>
      </c>
      <c r="I90" s="14" t="s">
        <v>69</v>
      </c>
      <c r="J90" s="16" t="s">
        <v>23</v>
      </c>
      <c r="K90" s="15" t="s">
        <v>673</v>
      </c>
      <c r="L90" s="15" t="s">
        <v>674</v>
      </c>
      <c r="M90" s="15" t="s">
        <v>675</v>
      </c>
      <c r="N90" s="15" t="s">
        <v>676</v>
      </c>
      <c r="O90" s="14" t="s">
        <v>670</v>
      </c>
      <c r="P90" s="17"/>
      <c r="Q90" s="18"/>
      <c r="R90" s="19"/>
      <c r="S90" s="18"/>
    </row>
    <row r="91" customFormat="false" ht="32.8" hidden="false" customHeight="false" outlineLevel="0" collapsed="false">
      <c r="A91" s="14" t="n">
        <v>11</v>
      </c>
      <c r="B91" s="15" t="s">
        <v>40</v>
      </c>
      <c r="C91" s="14" t="s">
        <v>677</v>
      </c>
      <c r="D91" s="15" t="s">
        <v>678</v>
      </c>
      <c r="E91" s="14" t="s">
        <v>154</v>
      </c>
      <c r="F91" s="14" t="s">
        <v>658</v>
      </c>
      <c r="G91" s="14"/>
      <c r="H91" s="14" t="s">
        <v>69</v>
      </c>
      <c r="I91" s="14" t="s">
        <v>69</v>
      </c>
      <c r="J91" s="16" t="s">
        <v>23</v>
      </c>
      <c r="K91" s="15" t="s">
        <v>679</v>
      </c>
      <c r="L91" s="15" t="s">
        <v>680</v>
      </c>
      <c r="M91" s="15" t="s">
        <v>681</v>
      </c>
      <c r="N91" s="15" t="s">
        <v>682</v>
      </c>
      <c r="O91" s="14" t="s">
        <v>683</v>
      </c>
      <c r="P91" s="17"/>
      <c r="Q91" s="18"/>
      <c r="R91" s="19"/>
      <c r="S91" s="18"/>
    </row>
    <row r="92" customFormat="false" ht="43.25" hidden="false" customHeight="false" outlineLevel="0" collapsed="false">
      <c r="A92" s="14" t="n">
        <v>12</v>
      </c>
      <c r="B92" s="15" t="s">
        <v>41</v>
      </c>
      <c r="C92" s="14" t="s">
        <v>684</v>
      </c>
      <c r="D92" s="15" t="s">
        <v>685</v>
      </c>
      <c r="E92" s="14" t="s">
        <v>230</v>
      </c>
      <c r="F92" s="14" t="s">
        <v>134</v>
      </c>
      <c r="G92" s="14" t="s">
        <v>69</v>
      </c>
      <c r="H92" s="14" t="s">
        <v>69</v>
      </c>
      <c r="I92" s="14" t="s">
        <v>69</v>
      </c>
      <c r="J92" s="17" t="s">
        <v>24</v>
      </c>
      <c r="K92" s="15" t="s">
        <v>686</v>
      </c>
      <c r="L92" s="15" t="s">
        <v>687</v>
      </c>
      <c r="M92" s="15" t="s">
        <v>688</v>
      </c>
      <c r="N92" s="15" t="s">
        <v>689</v>
      </c>
      <c r="O92" s="14" t="s">
        <v>690</v>
      </c>
      <c r="P92" s="17"/>
      <c r="Q92" s="18"/>
      <c r="R92" s="19"/>
      <c r="S92" s="18"/>
    </row>
    <row r="93" customFormat="false" ht="43.25" hidden="false" customHeight="false" outlineLevel="0" collapsed="false">
      <c r="A93" s="14" t="n">
        <v>12</v>
      </c>
      <c r="B93" s="15" t="s">
        <v>41</v>
      </c>
      <c r="C93" s="14" t="s">
        <v>691</v>
      </c>
      <c r="D93" s="15" t="s">
        <v>692</v>
      </c>
      <c r="E93" s="14" t="s">
        <v>230</v>
      </c>
      <c r="F93" s="14" t="s">
        <v>155</v>
      </c>
      <c r="G93" s="14"/>
      <c r="H93" s="14" t="s">
        <v>69</v>
      </c>
      <c r="I93" s="14" t="s">
        <v>69</v>
      </c>
      <c r="J93" s="16" t="s">
        <v>23</v>
      </c>
      <c r="K93" s="15" t="s">
        <v>693</v>
      </c>
      <c r="L93" s="15" t="s">
        <v>694</v>
      </c>
      <c r="M93" s="15" t="s">
        <v>695</v>
      </c>
      <c r="N93" s="15" t="s">
        <v>696</v>
      </c>
      <c r="O93" s="14" t="s">
        <v>697</v>
      </c>
      <c r="P93" s="17"/>
      <c r="Q93" s="18"/>
      <c r="R93" s="19"/>
      <c r="S93" s="18"/>
    </row>
    <row r="94" customFormat="false" ht="32.8" hidden="false" customHeight="false" outlineLevel="0" collapsed="false">
      <c r="A94" s="14" t="n">
        <v>12</v>
      </c>
      <c r="B94" s="15" t="s">
        <v>41</v>
      </c>
      <c r="C94" s="14" t="s">
        <v>698</v>
      </c>
      <c r="D94" s="15" t="s">
        <v>699</v>
      </c>
      <c r="E94" s="14" t="s">
        <v>230</v>
      </c>
      <c r="F94" s="14" t="s">
        <v>134</v>
      </c>
      <c r="G94" s="14"/>
      <c r="H94" s="14" t="s">
        <v>69</v>
      </c>
      <c r="I94" s="14" t="s">
        <v>69</v>
      </c>
      <c r="J94" s="16" t="s">
        <v>23</v>
      </c>
      <c r="K94" s="15" t="s">
        <v>700</v>
      </c>
      <c r="L94" s="15" t="s">
        <v>701</v>
      </c>
      <c r="M94" s="15" t="s">
        <v>702</v>
      </c>
      <c r="N94" s="15" t="s">
        <v>703</v>
      </c>
      <c r="O94" s="14" t="s">
        <v>704</v>
      </c>
      <c r="P94" s="17"/>
      <c r="Q94" s="18"/>
      <c r="R94" s="19"/>
      <c r="S94" s="18"/>
    </row>
    <row r="95" customFormat="false" ht="32.8" hidden="false" customHeight="false" outlineLevel="0" collapsed="false">
      <c r="A95" s="14" t="n">
        <v>12</v>
      </c>
      <c r="B95" s="15" t="s">
        <v>41</v>
      </c>
      <c r="C95" s="14" t="s">
        <v>705</v>
      </c>
      <c r="D95" s="15" t="s">
        <v>706</v>
      </c>
      <c r="E95" s="14" t="s">
        <v>252</v>
      </c>
      <c r="F95" s="14" t="s">
        <v>155</v>
      </c>
      <c r="G95" s="14"/>
      <c r="H95" s="14" t="s">
        <v>69</v>
      </c>
      <c r="I95" s="14" t="s">
        <v>69</v>
      </c>
      <c r="J95" s="17" t="s">
        <v>24</v>
      </c>
      <c r="K95" s="15" t="s">
        <v>707</v>
      </c>
      <c r="L95" s="15" t="s">
        <v>708</v>
      </c>
      <c r="M95" s="15" t="s">
        <v>709</v>
      </c>
      <c r="N95" s="15" t="s">
        <v>481</v>
      </c>
      <c r="O95" s="14" t="s">
        <v>710</v>
      </c>
      <c r="P95" s="17"/>
      <c r="Q95" s="18"/>
      <c r="R95" s="19"/>
      <c r="S95" s="18"/>
    </row>
    <row r="96" customFormat="false" ht="43.25" hidden="false" customHeight="false" outlineLevel="0" collapsed="false">
      <c r="A96" s="14" t="n">
        <v>12</v>
      </c>
      <c r="B96" s="15" t="s">
        <v>41</v>
      </c>
      <c r="C96" s="14" t="s">
        <v>711</v>
      </c>
      <c r="D96" s="15" t="s">
        <v>712</v>
      </c>
      <c r="E96" s="14" t="s">
        <v>230</v>
      </c>
      <c r="F96" s="14" t="s">
        <v>134</v>
      </c>
      <c r="G96" s="14"/>
      <c r="H96" s="14" t="s">
        <v>69</v>
      </c>
      <c r="I96" s="14" t="s">
        <v>69</v>
      </c>
      <c r="J96" s="16" t="s">
        <v>23</v>
      </c>
      <c r="K96" s="15" t="s">
        <v>713</v>
      </c>
      <c r="L96" s="15" t="s">
        <v>714</v>
      </c>
      <c r="M96" s="15" t="s">
        <v>715</v>
      </c>
      <c r="N96" s="15" t="s">
        <v>420</v>
      </c>
      <c r="O96" s="14" t="s">
        <v>716</v>
      </c>
      <c r="P96" s="17"/>
      <c r="Q96" s="18"/>
      <c r="R96" s="19"/>
      <c r="S96" s="18"/>
    </row>
    <row r="97" customFormat="false" ht="32.8" hidden="false" customHeight="false" outlineLevel="0" collapsed="false">
      <c r="A97" s="14" t="n">
        <v>12</v>
      </c>
      <c r="B97" s="15" t="s">
        <v>41</v>
      </c>
      <c r="C97" s="14" t="s">
        <v>717</v>
      </c>
      <c r="D97" s="15" t="s">
        <v>718</v>
      </c>
      <c r="E97" s="14" t="s">
        <v>230</v>
      </c>
      <c r="F97" s="14" t="s">
        <v>134</v>
      </c>
      <c r="G97" s="14"/>
      <c r="H97" s="14" t="s">
        <v>69</v>
      </c>
      <c r="I97" s="14" t="s">
        <v>69</v>
      </c>
      <c r="J97" s="16" t="s">
        <v>23</v>
      </c>
      <c r="K97" s="15" t="s">
        <v>719</v>
      </c>
      <c r="L97" s="15" t="s">
        <v>720</v>
      </c>
      <c r="M97" s="15" t="s">
        <v>721</v>
      </c>
      <c r="N97" s="15" t="s">
        <v>722</v>
      </c>
      <c r="O97" s="14" t="s">
        <v>723</v>
      </c>
      <c r="P97" s="17"/>
      <c r="Q97" s="18"/>
      <c r="R97" s="19"/>
      <c r="S97" s="18"/>
    </row>
    <row r="98" customFormat="false" ht="43.25" hidden="false" customHeight="false" outlineLevel="0" collapsed="false">
      <c r="A98" s="14" t="n">
        <v>12</v>
      </c>
      <c r="B98" s="15" t="s">
        <v>41</v>
      </c>
      <c r="C98" s="14" t="s">
        <v>724</v>
      </c>
      <c r="D98" s="15" t="s">
        <v>725</v>
      </c>
      <c r="E98" s="14" t="s">
        <v>67</v>
      </c>
      <c r="F98" s="14" t="s">
        <v>134</v>
      </c>
      <c r="G98" s="14"/>
      <c r="H98" s="14" t="s">
        <v>69</v>
      </c>
      <c r="I98" s="14" t="s">
        <v>69</v>
      </c>
      <c r="J98" s="16" t="s">
        <v>23</v>
      </c>
      <c r="K98" s="15" t="s">
        <v>726</v>
      </c>
      <c r="L98" s="15" t="s">
        <v>727</v>
      </c>
      <c r="M98" s="15" t="s">
        <v>728</v>
      </c>
      <c r="N98" s="15" t="s">
        <v>729</v>
      </c>
      <c r="O98" s="14" t="s">
        <v>730</v>
      </c>
      <c r="P98" s="17"/>
      <c r="Q98" s="18"/>
      <c r="R98" s="19"/>
      <c r="S98" s="18"/>
    </row>
    <row r="99" customFormat="false" ht="43.25" hidden="false" customHeight="false" outlineLevel="0" collapsed="false">
      <c r="A99" s="14" t="n">
        <v>12</v>
      </c>
      <c r="B99" s="15" t="s">
        <v>41</v>
      </c>
      <c r="C99" s="14" t="s">
        <v>731</v>
      </c>
      <c r="D99" s="15" t="s">
        <v>732</v>
      </c>
      <c r="E99" s="14" t="s">
        <v>67</v>
      </c>
      <c r="F99" s="14" t="s">
        <v>134</v>
      </c>
      <c r="G99" s="14"/>
      <c r="H99" s="14"/>
      <c r="I99" s="14" t="s">
        <v>69</v>
      </c>
      <c r="J99" s="16" t="s">
        <v>23</v>
      </c>
      <c r="K99" s="15" t="s">
        <v>733</v>
      </c>
      <c r="L99" s="15" t="s">
        <v>734</v>
      </c>
      <c r="M99" s="15" t="s">
        <v>735</v>
      </c>
      <c r="N99" s="15" t="s">
        <v>736</v>
      </c>
      <c r="O99" s="14" t="s">
        <v>737</v>
      </c>
      <c r="P99" s="17"/>
      <c r="Q99" s="18"/>
      <c r="R99" s="19"/>
      <c r="S99" s="18"/>
    </row>
    <row r="100" customFormat="false" ht="32.8" hidden="false" customHeight="false" outlineLevel="0" collapsed="false">
      <c r="A100" s="14" t="n">
        <v>13</v>
      </c>
      <c r="B100" s="15" t="s">
        <v>42</v>
      </c>
      <c r="C100" s="14" t="s">
        <v>738</v>
      </c>
      <c r="D100" s="15" t="s">
        <v>739</v>
      </c>
      <c r="E100" s="14" t="s">
        <v>230</v>
      </c>
      <c r="F100" s="14" t="s">
        <v>85</v>
      </c>
      <c r="G100" s="14"/>
      <c r="H100" s="14" t="s">
        <v>69</v>
      </c>
      <c r="I100" s="14" t="s">
        <v>69</v>
      </c>
      <c r="J100" s="16" t="s">
        <v>23</v>
      </c>
      <c r="K100" s="15" t="s">
        <v>740</v>
      </c>
      <c r="L100" s="15" t="s">
        <v>741</v>
      </c>
      <c r="M100" s="15" t="s">
        <v>742</v>
      </c>
      <c r="N100" s="15" t="s">
        <v>743</v>
      </c>
      <c r="O100" s="14" t="s">
        <v>744</v>
      </c>
      <c r="P100" s="17"/>
      <c r="Q100" s="18"/>
      <c r="R100" s="19"/>
      <c r="S100" s="18"/>
    </row>
    <row r="101" customFormat="false" ht="32.8" hidden="false" customHeight="false" outlineLevel="0" collapsed="false">
      <c r="A101" s="14" t="n">
        <v>13</v>
      </c>
      <c r="B101" s="15" t="s">
        <v>42</v>
      </c>
      <c r="C101" s="14" t="s">
        <v>745</v>
      </c>
      <c r="D101" s="15" t="s">
        <v>746</v>
      </c>
      <c r="E101" s="14" t="s">
        <v>67</v>
      </c>
      <c r="F101" s="14" t="s">
        <v>85</v>
      </c>
      <c r="G101" s="14"/>
      <c r="H101" s="14" t="s">
        <v>69</v>
      </c>
      <c r="I101" s="14" t="s">
        <v>69</v>
      </c>
      <c r="J101" s="16" t="s">
        <v>23</v>
      </c>
      <c r="K101" s="15" t="s">
        <v>747</v>
      </c>
      <c r="L101" s="15" t="s">
        <v>748</v>
      </c>
      <c r="M101" s="15" t="s">
        <v>749</v>
      </c>
      <c r="N101" s="15" t="s">
        <v>750</v>
      </c>
      <c r="O101" s="14" t="s">
        <v>649</v>
      </c>
      <c r="P101" s="17"/>
      <c r="Q101" s="18"/>
      <c r="R101" s="19"/>
      <c r="S101" s="18"/>
    </row>
    <row r="102" customFormat="false" ht="53.7" hidden="false" customHeight="false" outlineLevel="0" collapsed="false">
      <c r="A102" s="14" t="n">
        <v>13</v>
      </c>
      <c r="B102" s="15" t="s">
        <v>42</v>
      </c>
      <c r="C102" s="14" t="s">
        <v>751</v>
      </c>
      <c r="D102" s="15" t="s">
        <v>752</v>
      </c>
      <c r="E102" s="14" t="s">
        <v>230</v>
      </c>
      <c r="F102" s="14" t="s">
        <v>85</v>
      </c>
      <c r="G102" s="14"/>
      <c r="H102" s="14" t="s">
        <v>69</v>
      </c>
      <c r="I102" s="14" t="s">
        <v>69</v>
      </c>
      <c r="J102" s="16" t="s">
        <v>23</v>
      </c>
      <c r="K102" s="15" t="s">
        <v>753</v>
      </c>
      <c r="L102" s="15" t="s">
        <v>754</v>
      </c>
      <c r="M102" s="15" t="s">
        <v>755</v>
      </c>
      <c r="N102" s="15" t="s">
        <v>756</v>
      </c>
      <c r="O102" s="14" t="s">
        <v>757</v>
      </c>
      <c r="P102" s="17"/>
      <c r="Q102" s="18"/>
      <c r="R102" s="19"/>
      <c r="S102" s="18"/>
    </row>
    <row r="103" customFormat="false" ht="32.8" hidden="false" customHeight="false" outlineLevel="0" collapsed="false">
      <c r="A103" s="14" t="n">
        <v>13</v>
      </c>
      <c r="B103" s="15" t="s">
        <v>42</v>
      </c>
      <c r="C103" s="14" t="s">
        <v>758</v>
      </c>
      <c r="D103" s="15" t="s">
        <v>759</v>
      </c>
      <c r="E103" s="14" t="s">
        <v>230</v>
      </c>
      <c r="F103" s="14" t="s">
        <v>134</v>
      </c>
      <c r="G103" s="14"/>
      <c r="H103" s="14" t="s">
        <v>69</v>
      </c>
      <c r="I103" s="14" t="s">
        <v>69</v>
      </c>
      <c r="J103" s="16" t="s">
        <v>23</v>
      </c>
      <c r="K103" s="15" t="s">
        <v>760</v>
      </c>
      <c r="L103" s="15" t="s">
        <v>761</v>
      </c>
      <c r="M103" s="15" t="s">
        <v>762</v>
      </c>
      <c r="N103" s="15" t="s">
        <v>763</v>
      </c>
      <c r="O103" s="14" t="s">
        <v>764</v>
      </c>
      <c r="P103" s="17"/>
      <c r="Q103" s="18"/>
      <c r="R103" s="19"/>
      <c r="S103" s="18"/>
    </row>
    <row r="104" customFormat="false" ht="32.8" hidden="false" customHeight="false" outlineLevel="0" collapsed="false">
      <c r="A104" s="14" t="n">
        <v>13</v>
      </c>
      <c r="B104" s="15" t="s">
        <v>42</v>
      </c>
      <c r="C104" s="14" t="s">
        <v>765</v>
      </c>
      <c r="D104" s="15" t="s">
        <v>766</v>
      </c>
      <c r="E104" s="14" t="s">
        <v>67</v>
      </c>
      <c r="F104" s="14" t="s">
        <v>134</v>
      </c>
      <c r="G104" s="14"/>
      <c r="H104" s="14" t="s">
        <v>69</v>
      </c>
      <c r="I104" s="14" t="s">
        <v>69</v>
      </c>
      <c r="J104" s="16" t="s">
        <v>23</v>
      </c>
      <c r="K104" s="15" t="s">
        <v>767</v>
      </c>
      <c r="L104" s="15" t="s">
        <v>768</v>
      </c>
      <c r="M104" s="15" t="s">
        <v>769</v>
      </c>
      <c r="N104" s="15" t="s">
        <v>770</v>
      </c>
      <c r="O104" s="14" t="s">
        <v>771</v>
      </c>
      <c r="P104" s="17"/>
      <c r="Q104" s="18"/>
      <c r="R104" s="19"/>
      <c r="S104" s="18"/>
    </row>
    <row r="105" customFormat="false" ht="32.8" hidden="false" customHeight="false" outlineLevel="0" collapsed="false">
      <c r="A105" s="14" t="n">
        <v>13</v>
      </c>
      <c r="B105" s="15" t="s">
        <v>42</v>
      </c>
      <c r="C105" s="14" t="s">
        <v>772</v>
      </c>
      <c r="D105" s="15" t="s">
        <v>773</v>
      </c>
      <c r="E105" s="14" t="s">
        <v>230</v>
      </c>
      <c r="F105" s="14" t="s">
        <v>85</v>
      </c>
      <c r="G105" s="14"/>
      <c r="H105" s="14" t="s">
        <v>69</v>
      </c>
      <c r="I105" s="14" t="s">
        <v>69</v>
      </c>
      <c r="J105" s="16" t="s">
        <v>23</v>
      </c>
      <c r="K105" s="15" t="s">
        <v>774</v>
      </c>
      <c r="L105" s="15" t="s">
        <v>775</v>
      </c>
      <c r="M105" s="15" t="s">
        <v>776</v>
      </c>
      <c r="N105" s="15" t="s">
        <v>777</v>
      </c>
      <c r="O105" s="14" t="s">
        <v>778</v>
      </c>
      <c r="P105" s="17"/>
      <c r="Q105" s="18"/>
      <c r="R105" s="19"/>
      <c r="S105" s="18"/>
    </row>
    <row r="106" customFormat="false" ht="32.8" hidden="false" customHeight="false" outlineLevel="0" collapsed="false">
      <c r="A106" s="14" t="n">
        <v>13</v>
      </c>
      <c r="B106" s="15" t="s">
        <v>42</v>
      </c>
      <c r="C106" s="14" t="s">
        <v>779</v>
      </c>
      <c r="D106" s="15" t="s">
        <v>780</v>
      </c>
      <c r="E106" s="14" t="s">
        <v>67</v>
      </c>
      <c r="F106" s="14" t="s">
        <v>134</v>
      </c>
      <c r="G106" s="14"/>
      <c r="H106" s="14"/>
      <c r="I106" s="14" t="s">
        <v>69</v>
      </c>
      <c r="J106" s="16" t="s">
        <v>23</v>
      </c>
      <c r="K106" s="15" t="s">
        <v>781</v>
      </c>
      <c r="L106" s="15" t="s">
        <v>782</v>
      </c>
      <c r="M106" s="15" t="s">
        <v>783</v>
      </c>
      <c r="N106" s="15" t="s">
        <v>528</v>
      </c>
      <c r="O106" s="14" t="s">
        <v>610</v>
      </c>
      <c r="P106" s="17"/>
      <c r="Q106" s="18"/>
      <c r="R106" s="19"/>
      <c r="S106" s="18"/>
    </row>
    <row r="107" customFormat="false" ht="32.8" hidden="false" customHeight="false" outlineLevel="0" collapsed="false">
      <c r="A107" s="14" t="n">
        <v>13</v>
      </c>
      <c r="B107" s="15" t="s">
        <v>42</v>
      </c>
      <c r="C107" s="14" t="s">
        <v>784</v>
      </c>
      <c r="D107" s="15" t="s">
        <v>785</v>
      </c>
      <c r="E107" s="14" t="s">
        <v>230</v>
      </c>
      <c r="F107" s="14" t="s">
        <v>134</v>
      </c>
      <c r="G107" s="14"/>
      <c r="H107" s="14"/>
      <c r="I107" s="14" t="s">
        <v>69</v>
      </c>
      <c r="J107" s="16" t="s">
        <v>23</v>
      </c>
      <c r="K107" s="15" t="s">
        <v>786</v>
      </c>
      <c r="L107" s="15" t="s">
        <v>787</v>
      </c>
      <c r="M107" s="15" t="s">
        <v>788</v>
      </c>
      <c r="N107" s="15" t="s">
        <v>789</v>
      </c>
      <c r="O107" s="14" t="s">
        <v>790</v>
      </c>
      <c r="P107" s="17"/>
      <c r="Q107" s="18"/>
      <c r="R107" s="19"/>
      <c r="S107" s="18"/>
    </row>
    <row r="108" customFormat="false" ht="32.8" hidden="false" customHeight="false" outlineLevel="0" collapsed="false">
      <c r="A108" s="14" t="n">
        <v>13</v>
      </c>
      <c r="B108" s="15" t="s">
        <v>42</v>
      </c>
      <c r="C108" s="14" t="s">
        <v>791</v>
      </c>
      <c r="D108" s="15" t="s">
        <v>792</v>
      </c>
      <c r="E108" s="14" t="s">
        <v>67</v>
      </c>
      <c r="F108" s="14" t="s">
        <v>134</v>
      </c>
      <c r="G108" s="14"/>
      <c r="H108" s="14"/>
      <c r="I108" s="14" t="s">
        <v>69</v>
      </c>
      <c r="J108" s="17" t="s">
        <v>24</v>
      </c>
      <c r="K108" s="15" t="s">
        <v>793</v>
      </c>
      <c r="L108" s="15" t="s">
        <v>794</v>
      </c>
      <c r="M108" s="15" t="s">
        <v>795</v>
      </c>
      <c r="N108" s="15" t="s">
        <v>796</v>
      </c>
      <c r="O108" s="14" t="s">
        <v>797</v>
      </c>
      <c r="P108" s="17"/>
      <c r="Q108" s="18"/>
      <c r="R108" s="19"/>
      <c r="S108" s="18"/>
    </row>
    <row r="109" customFormat="false" ht="43.25" hidden="false" customHeight="false" outlineLevel="0" collapsed="false">
      <c r="A109" s="14" t="n">
        <v>13</v>
      </c>
      <c r="B109" s="15" t="s">
        <v>42</v>
      </c>
      <c r="C109" s="14" t="s">
        <v>798</v>
      </c>
      <c r="D109" s="15" t="s">
        <v>799</v>
      </c>
      <c r="E109" s="14" t="s">
        <v>230</v>
      </c>
      <c r="F109" s="14" t="s">
        <v>134</v>
      </c>
      <c r="G109" s="14"/>
      <c r="H109" s="14"/>
      <c r="I109" s="14" t="s">
        <v>69</v>
      </c>
      <c r="J109" s="16" t="s">
        <v>23</v>
      </c>
      <c r="K109" s="15" t="s">
        <v>800</v>
      </c>
      <c r="L109" s="15" t="s">
        <v>801</v>
      </c>
      <c r="M109" s="15" t="s">
        <v>802</v>
      </c>
      <c r="N109" s="15" t="s">
        <v>803</v>
      </c>
      <c r="O109" s="14" t="s">
        <v>804</v>
      </c>
      <c r="P109" s="17"/>
      <c r="Q109" s="18"/>
      <c r="R109" s="19"/>
      <c r="S109" s="18"/>
    </row>
    <row r="110" customFormat="false" ht="32.8" hidden="false" customHeight="false" outlineLevel="0" collapsed="false">
      <c r="A110" s="14" t="n">
        <v>13</v>
      </c>
      <c r="B110" s="15" t="s">
        <v>42</v>
      </c>
      <c r="C110" s="14" t="s">
        <v>805</v>
      </c>
      <c r="D110" s="15" t="s">
        <v>806</v>
      </c>
      <c r="E110" s="14" t="s">
        <v>230</v>
      </c>
      <c r="F110" s="14" t="s">
        <v>85</v>
      </c>
      <c r="G110" s="14"/>
      <c r="H110" s="14"/>
      <c r="I110" s="14" t="s">
        <v>69</v>
      </c>
      <c r="J110" s="16" t="s">
        <v>23</v>
      </c>
      <c r="K110" s="15" t="s">
        <v>807</v>
      </c>
      <c r="L110" s="15" t="s">
        <v>808</v>
      </c>
      <c r="M110" s="15" t="s">
        <v>809</v>
      </c>
      <c r="N110" s="15" t="s">
        <v>810</v>
      </c>
      <c r="O110" s="14" t="s">
        <v>811</v>
      </c>
      <c r="P110" s="17"/>
      <c r="Q110" s="18"/>
      <c r="R110" s="19"/>
      <c r="S110" s="18"/>
    </row>
    <row r="111" customFormat="false" ht="32.8" hidden="false" customHeight="false" outlineLevel="0" collapsed="false">
      <c r="A111" s="14" t="n">
        <v>14</v>
      </c>
      <c r="B111" s="15" t="s">
        <v>43</v>
      </c>
      <c r="C111" s="14" t="s">
        <v>812</v>
      </c>
      <c r="D111" s="15" t="s">
        <v>813</v>
      </c>
      <c r="E111" s="14" t="s">
        <v>252</v>
      </c>
      <c r="F111" s="14" t="s">
        <v>155</v>
      </c>
      <c r="G111" s="14" t="s">
        <v>69</v>
      </c>
      <c r="H111" s="14" t="s">
        <v>69</v>
      </c>
      <c r="I111" s="14" t="s">
        <v>69</v>
      </c>
      <c r="J111" s="20" t="s">
        <v>25</v>
      </c>
      <c r="K111" s="15" t="s">
        <v>814</v>
      </c>
      <c r="L111" s="15" t="s">
        <v>815</v>
      </c>
      <c r="M111" s="15" t="s">
        <v>816</v>
      </c>
      <c r="N111" s="15" t="s">
        <v>817</v>
      </c>
      <c r="O111" s="14" t="s">
        <v>818</v>
      </c>
      <c r="P111" s="17"/>
      <c r="Q111" s="18"/>
      <c r="R111" s="19"/>
      <c r="S111" s="18"/>
    </row>
    <row r="112" customFormat="false" ht="32.8" hidden="false" customHeight="false" outlineLevel="0" collapsed="false">
      <c r="A112" s="14" t="n">
        <v>14</v>
      </c>
      <c r="B112" s="15" t="s">
        <v>43</v>
      </c>
      <c r="C112" s="14" t="s">
        <v>819</v>
      </c>
      <c r="D112" s="15" t="s">
        <v>820</v>
      </c>
      <c r="E112" s="14" t="s">
        <v>294</v>
      </c>
      <c r="F112" s="14" t="s">
        <v>134</v>
      </c>
      <c r="G112" s="14" t="s">
        <v>69</v>
      </c>
      <c r="H112" s="14" t="s">
        <v>69</v>
      </c>
      <c r="I112" s="14" t="s">
        <v>69</v>
      </c>
      <c r="J112" s="16" t="s">
        <v>23</v>
      </c>
      <c r="K112" s="15" t="s">
        <v>821</v>
      </c>
      <c r="L112" s="15" t="s">
        <v>822</v>
      </c>
      <c r="M112" s="15" t="s">
        <v>823</v>
      </c>
      <c r="N112" s="15" t="s">
        <v>824</v>
      </c>
      <c r="O112" s="14" t="s">
        <v>818</v>
      </c>
      <c r="P112" s="17"/>
      <c r="Q112" s="18"/>
      <c r="R112" s="19"/>
      <c r="S112" s="18"/>
    </row>
    <row r="113" customFormat="false" ht="32.8" hidden="false" customHeight="false" outlineLevel="0" collapsed="false">
      <c r="A113" s="14" t="n">
        <v>14</v>
      </c>
      <c r="B113" s="15" t="s">
        <v>43</v>
      </c>
      <c r="C113" s="14" t="s">
        <v>825</v>
      </c>
      <c r="D113" s="15" t="s">
        <v>826</v>
      </c>
      <c r="E113" s="14" t="s">
        <v>294</v>
      </c>
      <c r="F113" s="14" t="s">
        <v>134</v>
      </c>
      <c r="G113" s="14" t="s">
        <v>69</v>
      </c>
      <c r="H113" s="14" t="s">
        <v>69</v>
      </c>
      <c r="I113" s="14" t="s">
        <v>69</v>
      </c>
      <c r="J113" s="17" t="s">
        <v>24</v>
      </c>
      <c r="K113" s="15" t="s">
        <v>827</v>
      </c>
      <c r="L113" s="15" t="s">
        <v>828</v>
      </c>
      <c r="M113" s="15" t="s">
        <v>829</v>
      </c>
      <c r="N113" s="15" t="s">
        <v>824</v>
      </c>
      <c r="O113" s="14" t="s">
        <v>818</v>
      </c>
      <c r="P113" s="17"/>
      <c r="Q113" s="18"/>
      <c r="R113" s="19"/>
      <c r="S113" s="18"/>
    </row>
    <row r="114" customFormat="false" ht="22.35" hidden="false" customHeight="false" outlineLevel="0" collapsed="false">
      <c r="A114" s="14" t="n">
        <v>14</v>
      </c>
      <c r="B114" s="15" t="s">
        <v>43</v>
      </c>
      <c r="C114" s="14" t="s">
        <v>830</v>
      </c>
      <c r="D114" s="15" t="s">
        <v>831</v>
      </c>
      <c r="E114" s="14" t="s">
        <v>294</v>
      </c>
      <c r="F114" s="14" t="s">
        <v>134</v>
      </c>
      <c r="G114" s="14" t="s">
        <v>69</v>
      </c>
      <c r="H114" s="14" t="s">
        <v>69</v>
      </c>
      <c r="I114" s="14" t="s">
        <v>69</v>
      </c>
      <c r="J114" s="17" t="s">
        <v>24</v>
      </c>
      <c r="K114" s="15" t="s">
        <v>832</v>
      </c>
      <c r="L114" s="15" t="s">
        <v>833</v>
      </c>
      <c r="M114" s="15" t="s">
        <v>834</v>
      </c>
      <c r="N114" s="15" t="s">
        <v>481</v>
      </c>
      <c r="O114" s="14" t="s">
        <v>835</v>
      </c>
      <c r="P114" s="17"/>
      <c r="Q114" s="18"/>
      <c r="R114" s="19"/>
      <c r="S114" s="18"/>
    </row>
    <row r="115" customFormat="false" ht="22.35" hidden="false" customHeight="false" outlineLevel="0" collapsed="false">
      <c r="A115" s="14" t="n">
        <v>14</v>
      </c>
      <c r="B115" s="15" t="s">
        <v>43</v>
      </c>
      <c r="C115" s="14" t="s">
        <v>836</v>
      </c>
      <c r="D115" s="15" t="s">
        <v>837</v>
      </c>
      <c r="E115" s="14" t="s">
        <v>294</v>
      </c>
      <c r="F115" s="14" t="s">
        <v>134</v>
      </c>
      <c r="G115" s="14" t="s">
        <v>69</v>
      </c>
      <c r="H115" s="14" t="s">
        <v>69</v>
      </c>
      <c r="I115" s="14" t="s">
        <v>69</v>
      </c>
      <c r="J115" s="17" t="s">
        <v>24</v>
      </c>
      <c r="K115" s="15" t="s">
        <v>838</v>
      </c>
      <c r="L115" s="15" t="s">
        <v>839</v>
      </c>
      <c r="M115" s="15" t="s">
        <v>840</v>
      </c>
      <c r="N115" s="15" t="s">
        <v>481</v>
      </c>
      <c r="O115" s="14" t="s">
        <v>818</v>
      </c>
      <c r="P115" s="17"/>
      <c r="Q115" s="18"/>
      <c r="R115" s="19"/>
      <c r="S115" s="18"/>
    </row>
    <row r="116" customFormat="false" ht="32.8" hidden="false" customHeight="false" outlineLevel="0" collapsed="false">
      <c r="A116" s="14" t="n">
        <v>14</v>
      </c>
      <c r="B116" s="15" t="s">
        <v>43</v>
      </c>
      <c r="C116" s="14" t="s">
        <v>841</v>
      </c>
      <c r="D116" s="15" t="s">
        <v>842</v>
      </c>
      <c r="E116" s="14" t="s">
        <v>294</v>
      </c>
      <c r="F116" s="14" t="s">
        <v>134</v>
      </c>
      <c r="G116" s="14" t="s">
        <v>69</v>
      </c>
      <c r="H116" s="14" t="s">
        <v>69</v>
      </c>
      <c r="I116" s="14" t="s">
        <v>69</v>
      </c>
      <c r="J116" s="17" t="s">
        <v>24</v>
      </c>
      <c r="K116" s="15" t="s">
        <v>843</v>
      </c>
      <c r="L116" s="15" t="s">
        <v>844</v>
      </c>
      <c r="M116" s="15" t="s">
        <v>845</v>
      </c>
      <c r="N116" s="15" t="s">
        <v>846</v>
      </c>
      <c r="O116" s="14" t="s">
        <v>847</v>
      </c>
      <c r="P116" s="17"/>
      <c r="Q116" s="18"/>
      <c r="R116" s="19"/>
      <c r="S116" s="18"/>
    </row>
    <row r="117" customFormat="false" ht="32.8" hidden="false" customHeight="false" outlineLevel="0" collapsed="false">
      <c r="A117" s="14" t="n">
        <v>14</v>
      </c>
      <c r="B117" s="15" t="s">
        <v>43</v>
      </c>
      <c r="C117" s="14" t="s">
        <v>848</v>
      </c>
      <c r="D117" s="15" t="s">
        <v>849</v>
      </c>
      <c r="E117" s="14" t="s">
        <v>294</v>
      </c>
      <c r="F117" s="14" t="s">
        <v>134</v>
      </c>
      <c r="G117" s="14" t="s">
        <v>69</v>
      </c>
      <c r="H117" s="14" t="s">
        <v>69</v>
      </c>
      <c r="I117" s="14" t="s">
        <v>69</v>
      </c>
      <c r="J117" s="17" t="s">
        <v>24</v>
      </c>
      <c r="K117" s="15" t="s">
        <v>850</v>
      </c>
      <c r="L117" s="15" t="s">
        <v>851</v>
      </c>
      <c r="M117" s="15" t="s">
        <v>852</v>
      </c>
      <c r="N117" s="15" t="s">
        <v>270</v>
      </c>
      <c r="O117" s="14" t="s">
        <v>818</v>
      </c>
      <c r="P117" s="17"/>
      <c r="Q117" s="18"/>
      <c r="R117" s="19"/>
      <c r="S117" s="18"/>
    </row>
    <row r="118" customFormat="false" ht="32.8" hidden="false" customHeight="false" outlineLevel="0" collapsed="false">
      <c r="A118" s="14" t="n">
        <v>14</v>
      </c>
      <c r="B118" s="15" t="s">
        <v>43</v>
      </c>
      <c r="C118" s="14" t="s">
        <v>853</v>
      </c>
      <c r="D118" s="15" t="s">
        <v>854</v>
      </c>
      <c r="E118" s="14" t="s">
        <v>294</v>
      </c>
      <c r="F118" s="14" t="s">
        <v>134</v>
      </c>
      <c r="G118" s="14" t="s">
        <v>69</v>
      </c>
      <c r="H118" s="14" t="s">
        <v>69</v>
      </c>
      <c r="I118" s="14" t="s">
        <v>69</v>
      </c>
      <c r="J118" s="17" t="s">
        <v>24</v>
      </c>
      <c r="K118" s="15" t="s">
        <v>855</v>
      </c>
      <c r="L118" s="15" t="s">
        <v>856</v>
      </c>
      <c r="M118" s="15" t="s">
        <v>857</v>
      </c>
      <c r="N118" s="15" t="s">
        <v>481</v>
      </c>
      <c r="O118" s="14" t="s">
        <v>818</v>
      </c>
      <c r="P118" s="17"/>
      <c r="Q118" s="18"/>
      <c r="R118" s="19"/>
      <c r="S118" s="18"/>
    </row>
    <row r="119" customFormat="false" ht="32.8" hidden="false" customHeight="false" outlineLevel="0" collapsed="false">
      <c r="A119" s="14" t="n">
        <v>14</v>
      </c>
      <c r="B119" s="15" t="s">
        <v>43</v>
      </c>
      <c r="C119" s="14" t="s">
        <v>858</v>
      </c>
      <c r="D119" s="15" t="s">
        <v>859</v>
      </c>
      <c r="E119" s="14" t="s">
        <v>294</v>
      </c>
      <c r="F119" s="14" t="s">
        <v>134</v>
      </c>
      <c r="G119" s="14"/>
      <c r="H119" s="14" t="s">
        <v>69</v>
      </c>
      <c r="I119" s="14" t="s">
        <v>69</v>
      </c>
      <c r="J119" s="17" t="s">
        <v>24</v>
      </c>
      <c r="K119" s="15" t="s">
        <v>860</v>
      </c>
      <c r="L119" s="15" t="s">
        <v>861</v>
      </c>
      <c r="M119" s="15" t="s">
        <v>862</v>
      </c>
      <c r="N119" s="15" t="s">
        <v>863</v>
      </c>
      <c r="O119" s="14" t="s">
        <v>864</v>
      </c>
      <c r="P119" s="17"/>
      <c r="Q119" s="18"/>
      <c r="R119" s="19"/>
      <c r="S119" s="18"/>
    </row>
    <row r="120" customFormat="false" ht="43.25" hidden="false" customHeight="false" outlineLevel="0" collapsed="false">
      <c r="A120" s="14" t="n">
        <v>15</v>
      </c>
      <c r="B120" s="15" t="s">
        <v>44</v>
      </c>
      <c r="C120" s="14" t="s">
        <v>865</v>
      </c>
      <c r="D120" s="15" t="s">
        <v>866</v>
      </c>
      <c r="E120" s="14" t="s">
        <v>294</v>
      </c>
      <c r="F120" s="14" t="s">
        <v>68</v>
      </c>
      <c r="G120" s="14" t="s">
        <v>69</v>
      </c>
      <c r="H120" s="14" t="s">
        <v>69</v>
      </c>
      <c r="I120" s="14" t="s">
        <v>69</v>
      </c>
      <c r="J120" s="17" t="s">
        <v>24</v>
      </c>
      <c r="K120" s="15" t="s">
        <v>867</v>
      </c>
      <c r="L120" s="15" t="s">
        <v>868</v>
      </c>
      <c r="M120" s="15" t="s">
        <v>869</v>
      </c>
      <c r="N120" s="15" t="s">
        <v>870</v>
      </c>
      <c r="O120" s="14" t="s">
        <v>818</v>
      </c>
      <c r="P120" s="17"/>
      <c r="Q120" s="18"/>
      <c r="R120" s="19"/>
      <c r="S120" s="18"/>
    </row>
    <row r="121" customFormat="false" ht="22.35" hidden="false" customHeight="false" outlineLevel="0" collapsed="false">
      <c r="A121" s="14" t="n">
        <v>15</v>
      </c>
      <c r="B121" s="15" t="s">
        <v>44</v>
      </c>
      <c r="C121" s="14" t="s">
        <v>871</v>
      </c>
      <c r="D121" s="15" t="s">
        <v>872</v>
      </c>
      <c r="E121" s="14" t="s">
        <v>252</v>
      </c>
      <c r="F121" s="14" t="s">
        <v>155</v>
      </c>
      <c r="G121" s="14"/>
      <c r="H121" s="14" t="s">
        <v>69</v>
      </c>
      <c r="I121" s="14" t="s">
        <v>69</v>
      </c>
      <c r="J121" s="20" t="s">
        <v>25</v>
      </c>
      <c r="K121" s="15" t="s">
        <v>873</v>
      </c>
      <c r="L121" s="15" t="s">
        <v>874</v>
      </c>
      <c r="M121" s="15" t="s">
        <v>875</v>
      </c>
      <c r="N121" s="15" t="s">
        <v>481</v>
      </c>
      <c r="O121" s="14" t="s">
        <v>818</v>
      </c>
      <c r="P121" s="17"/>
      <c r="Q121" s="18"/>
      <c r="R121" s="19"/>
      <c r="S121" s="18"/>
    </row>
    <row r="122" customFormat="false" ht="22.35" hidden="false" customHeight="false" outlineLevel="0" collapsed="false">
      <c r="A122" s="14" t="n">
        <v>15</v>
      </c>
      <c r="B122" s="15" t="s">
        <v>44</v>
      </c>
      <c r="C122" s="14" t="s">
        <v>876</v>
      </c>
      <c r="D122" s="15" t="s">
        <v>877</v>
      </c>
      <c r="E122" s="14" t="s">
        <v>294</v>
      </c>
      <c r="F122" s="14" t="s">
        <v>155</v>
      </c>
      <c r="G122" s="14"/>
      <c r="H122" s="14" t="s">
        <v>69</v>
      </c>
      <c r="I122" s="14" t="s">
        <v>69</v>
      </c>
      <c r="J122" s="17" t="s">
        <v>24</v>
      </c>
      <c r="K122" s="15" t="s">
        <v>878</v>
      </c>
      <c r="L122" s="15" t="s">
        <v>879</v>
      </c>
      <c r="M122" s="15" t="s">
        <v>880</v>
      </c>
      <c r="N122" s="15" t="s">
        <v>881</v>
      </c>
      <c r="O122" s="14" t="s">
        <v>818</v>
      </c>
      <c r="P122" s="17"/>
      <c r="Q122" s="18"/>
      <c r="R122" s="19"/>
      <c r="S122" s="18"/>
    </row>
    <row r="123" customFormat="false" ht="32.8" hidden="false" customHeight="false" outlineLevel="0" collapsed="false">
      <c r="A123" s="14" t="n">
        <v>15</v>
      </c>
      <c r="B123" s="15" t="s">
        <v>44</v>
      </c>
      <c r="C123" s="14" t="s">
        <v>882</v>
      </c>
      <c r="D123" s="15" t="s">
        <v>883</v>
      </c>
      <c r="E123" s="14" t="s">
        <v>294</v>
      </c>
      <c r="F123" s="14" t="s">
        <v>155</v>
      </c>
      <c r="G123" s="14"/>
      <c r="H123" s="14" t="s">
        <v>69</v>
      </c>
      <c r="I123" s="14" t="s">
        <v>69</v>
      </c>
      <c r="J123" s="20" t="s">
        <v>25</v>
      </c>
      <c r="K123" s="15" t="s">
        <v>884</v>
      </c>
      <c r="L123" s="15" t="s">
        <v>885</v>
      </c>
      <c r="M123" s="15" t="s">
        <v>886</v>
      </c>
      <c r="N123" s="15" t="s">
        <v>481</v>
      </c>
      <c r="O123" s="14" t="s">
        <v>818</v>
      </c>
      <c r="P123" s="17"/>
      <c r="Q123" s="18"/>
      <c r="R123" s="19"/>
      <c r="S123" s="18"/>
    </row>
    <row r="124" customFormat="false" ht="32.8" hidden="false" customHeight="false" outlineLevel="0" collapsed="false">
      <c r="A124" s="14" t="n">
        <v>15</v>
      </c>
      <c r="B124" s="15" t="s">
        <v>44</v>
      </c>
      <c r="C124" s="14" t="s">
        <v>887</v>
      </c>
      <c r="D124" s="15" t="s">
        <v>888</v>
      </c>
      <c r="E124" s="14" t="s">
        <v>294</v>
      </c>
      <c r="F124" s="14" t="s">
        <v>155</v>
      </c>
      <c r="G124" s="14"/>
      <c r="H124" s="14"/>
      <c r="I124" s="14" t="s">
        <v>69</v>
      </c>
      <c r="J124" s="17" t="s">
        <v>24</v>
      </c>
      <c r="K124" s="15" t="s">
        <v>889</v>
      </c>
      <c r="L124" s="15" t="s">
        <v>890</v>
      </c>
      <c r="M124" s="15" t="s">
        <v>891</v>
      </c>
      <c r="N124" s="15" t="s">
        <v>481</v>
      </c>
      <c r="O124" s="14" t="s">
        <v>818</v>
      </c>
      <c r="P124" s="17"/>
      <c r="Q124" s="18"/>
      <c r="R124" s="19"/>
      <c r="S124" s="18"/>
    </row>
    <row r="125" customFormat="false" ht="43.25" hidden="false" customHeight="false" outlineLevel="0" collapsed="false">
      <c r="A125" s="14" t="n">
        <v>15</v>
      </c>
      <c r="B125" s="15" t="s">
        <v>44</v>
      </c>
      <c r="C125" s="14" t="s">
        <v>892</v>
      </c>
      <c r="D125" s="15" t="s">
        <v>893</v>
      </c>
      <c r="E125" s="14" t="s">
        <v>154</v>
      </c>
      <c r="F125" s="14" t="s">
        <v>155</v>
      </c>
      <c r="G125" s="14"/>
      <c r="H125" s="14"/>
      <c r="I125" s="14" t="s">
        <v>69</v>
      </c>
      <c r="J125" s="17" t="s">
        <v>24</v>
      </c>
      <c r="K125" s="15" t="s">
        <v>894</v>
      </c>
      <c r="L125" s="15" t="s">
        <v>895</v>
      </c>
      <c r="M125" s="15" t="s">
        <v>896</v>
      </c>
      <c r="N125" s="15" t="s">
        <v>897</v>
      </c>
      <c r="O125" s="14" t="s">
        <v>898</v>
      </c>
      <c r="P125" s="17"/>
      <c r="Q125" s="18"/>
      <c r="R125" s="19"/>
      <c r="S125" s="18"/>
    </row>
    <row r="126" customFormat="false" ht="53.7" hidden="false" customHeight="false" outlineLevel="0" collapsed="false">
      <c r="A126" s="14" t="n">
        <v>15</v>
      </c>
      <c r="B126" s="15" t="s">
        <v>44</v>
      </c>
      <c r="C126" s="14" t="s">
        <v>899</v>
      </c>
      <c r="D126" s="15" t="s">
        <v>900</v>
      </c>
      <c r="E126" s="14" t="s">
        <v>154</v>
      </c>
      <c r="F126" s="14" t="s">
        <v>134</v>
      </c>
      <c r="G126" s="14"/>
      <c r="H126" s="14"/>
      <c r="I126" s="14" t="s">
        <v>69</v>
      </c>
      <c r="J126" s="16" t="s">
        <v>23</v>
      </c>
      <c r="K126" s="15" t="s">
        <v>901</v>
      </c>
      <c r="L126" s="15" t="s">
        <v>902</v>
      </c>
      <c r="M126" s="15" t="s">
        <v>903</v>
      </c>
      <c r="N126" s="15" t="s">
        <v>481</v>
      </c>
      <c r="O126" s="14" t="s">
        <v>904</v>
      </c>
      <c r="P126" s="17"/>
      <c r="Q126" s="18"/>
      <c r="R126" s="19"/>
      <c r="S126" s="18"/>
    </row>
    <row r="127" customFormat="false" ht="43.25" hidden="false" customHeight="false" outlineLevel="0" collapsed="false">
      <c r="A127" s="14" t="n">
        <v>16</v>
      </c>
      <c r="B127" s="15" t="s">
        <v>45</v>
      </c>
      <c r="C127" s="14" t="s">
        <v>905</v>
      </c>
      <c r="D127" s="15" t="s">
        <v>906</v>
      </c>
      <c r="E127" s="14" t="s">
        <v>252</v>
      </c>
      <c r="F127" s="14" t="s">
        <v>155</v>
      </c>
      <c r="G127" s="14"/>
      <c r="H127" s="14" t="s">
        <v>69</v>
      </c>
      <c r="I127" s="14" t="s">
        <v>69</v>
      </c>
      <c r="J127" s="20" t="s">
        <v>25</v>
      </c>
      <c r="K127" s="15" t="s">
        <v>907</v>
      </c>
      <c r="L127" s="15" t="s">
        <v>908</v>
      </c>
      <c r="M127" s="15" t="s">
        <v>909</v>
      </c>
      <c r="N127" s="15" t="s">
        <v>910</v>
      </c>
      <c r="O127" s="14" t="s">
        <v>911</v>
      </c>
      <c r="P127" s="17"/>
      <c r="Q127" s="18"/>
      <c r="R127" s="19"/>
      <c r="S127" s="18"/>
    </row>
    <row r="128" customFormat="false" ht="22.35" hidden="false" customHeight="false" outlineLevel="0" collapsed="false">
      <c r="A128" s="14" t="n">
        <v>16</v>
      </c>
      <c r="B128" s="15" t="s">
        <v>45</v>
      </c>
      <c r="C128" s="14" t="s">
        <v>912</v>
      </c>
      <c r="D128" s="15" t="s">
        <v>913</v>
      </c>
      <c r="E128" s="14" t="s">
        <v>252</v>
      </c>
      <c r="F128" s="14" t="s">
        <v>155</v>
      </c>
      <c r="G128" s="14"/>
      <c r="H128" s="14" t="s">
        <v>69</v>
      </c>
      <c r="I128" s="14" t="s">
        <v>69</v>
      </c>
      <c r="J128" s="20" t="s">
        <v>25</v>
      </c>
      <c r="K128" s="15" t="s">
        <v>914</v>
      </c>
      <c r="L128" s="15" t="s">
        <v>915</v>
      </c>
      <c r="M128" s="15" t="s">
        <v>916</v>
      </c>
      <c r="N128" s="15" t="s">
        <v>481</v>
      </c>
      <c r="O128" s="14" t="s">
        <v>917</v>
      </c>
      <c r="P128" s="17"/>
      <c r="Q128" s="18"/>
      <c r="R128" s="19"/>
      <c r="S128" s="18"/>
    </row>
    <row r="129" customFormat="false" ht="22.35" hidden="false" customHeight="false" outlineLevel="0" collapsed="false">
      <c r="A129" s="14" t="n">
        <v>16</v>
      </c>
      <c r="B129" s="15" t="s">
        <v>45</v>
      </c>
      <c r="C129" s="14" t="s">
        <v>918</v>
      </c>
      <c r="D129" s="15" t="s">
        <v>919</v>
      </c>
      <c r="E129" s="14" t="s">
        <v>105</v>
      </c>
      <c r="F129" s="14" t="s">
        <v>134</v>
      </c>
      <c r="G129" s="14"/>
      <c r="H129" s="14" t="s">
        <v>69</v>
      </c>
      <c r="I129" s="14" t="s">
        <v>69</v>
      </c>
      <c r="J129" s="20" t="s">
        <v>25</v>
      </c>
      <c r="K129" s="15" t="s">
        <v>920</v>
      </c>
      <c r="L129" s="15" t="s">
        <v>921</v>
      </c>
      <c r="M129" s="15" t="s">
        <v>922</v>
      </c>
      <c r="N129" s="15" t="s">
        <v>481</v>
      </c>
      <c r="O129" s="14" t="s">
        <v>911</v>
      </c>
      <c r="P129" s="17"/>
      <c r="Q129" s="18"/>
      <c r="R129" s="19"/>
      <c r="S129" s="18"/>
    </row>
    <row r="130" customFormat="false" ht="43.25" hidden="false" customHeight="false" outlineLevel="0" collapsed="false">
      <c r="A130" s="14" t="n">
        <v>16</v>
      </c>
      <c r="B130" s="15" t="s">
        <v>45</v>
      </c>
      <c r="C130" s="14" t="s">
        <v>923</v>
      </c>
      <c r="D130" s="15" t="s">
        <v>924</v>
      </c>
      <c r="E130" s="14" t="s">
        <v>105</v>
      </c>
      <c r="F130" s="14" t="s">
        <v>68</v>
      </c>
      <c r="G130" s="14"/>
      <c r="H130" s="14" t="s">
        <v>69</v>
      </c>
      <c r="I130" s="14" t="s">
        <v>69</v>
      </c>
      <c r="J130" s="16" t="s">
        <v>23</v>
      </c>
      <c r="K130" s="15" t="s">
        <v>925</v>
      </c>
      <c r="L130" s="15" t="s">
        <v>926</v>
      </c>
      <c r="M130" s="15" t="s">
        <v>927</v>
      </c>
      <c r="N130" s="15" t="s">
        <v>928</v>
      </c>
      <c r="O130" s="14" t="s">
        <v>929</v>
      </c>
      <c r="P130" s="17"/>
      <c r="Q130" s="18"/>
      <c r="R130" s="19"/>
      <c r="S130" s="18"/>
    </row>
    <row r="131" customFormat="false" ht="32.8" hidden="false" customHeight="false" outlineLevel="0" collapsed="false">
      <c r="A131" s="14" t="n">
        <v>16</v>
      </c>
      <c r="B131" s="15" t="s">
        <v>45</v>
      </c>
      <c r="C131" s="14" t="s">
        <v>930</v>
      </c>
      <c r="D131" s="15" t="s">
        <v>931</v>
      </c>
      <c r="E131" s="14" t="s">
        <v>105</v>
      </c>
      <c r="F131" s="14" t="s">
        <v>134</v>
      </c>
      <c r="G131" s="14"/>
      <c r="H131" s="14" t="s">
        <v>69</v>
      </c>
      <c r="I131" s="14" t="s">
        <v>69</v>
      </c>
      <c r="J131" s="16" t="s">
        <v>23</v>
      </c>
      <c r="K131" s="15" t="s">
        <v>932</v>
      </c>
      <c r="L131" s="15" t="s">
        <v>933</v>
      </c>
      <c r="M131" s="15" t="s">
        <v>934</v>
      </c>
      <c r="N131" s="15" t="s">
        <v>935</v>
      </c>
      <c r="O131" s="14" t="s">
        <v>929</v>
      </c>
      <c r="P131" s="17"/>
      <c r="Q131" s="18"/>
      <c r="R131" s="19"/>
      <c r="S131" s="18"/>
    </row>
    <row r="132" customFormat="false" ht="32.8" hidden="false" customHeight="false" outlineLevel="0" collapsed="false">
      <c r="A132" s="14" t="n">
        <v>16</v>
      </c>
      <c r="B132" s="15" t="s">
        <v>45</v>
      </c>
      <c r="C132" s="14" t="s">
        <v>936</v>
      </c>
      <c r="D132" s="15" t="s">
        <v>937</v>
      </c>
      <c r="E132" s="14" t="s">
        <v>252</v>
      </c>
      <c r="F132" s="14" t="s">
        <v>155</v>
      </c>
      <c r="G132" s="14"/>
      <c r="H132" s="14" t="s">
        <v>69</v>
      </c>
      <c r="I132" s="14" t="s">
        <v>69</v>
      </c>
      <c r="J132" s="20" t="s">
        <v>25</v>
      </c>
      <c r="K132" s="15" t="s">
        <v>938</v>
      </c>
      <c r="L132" s="15" t="s">
        <v>939</v>
      </c>
      <c r="M132" s="15" t="s">
        <v>940</v>
      </c>
      <c r="N132" s="15" t="s">
        <v>481</v>
      </c>
      <c r="O132" s="14" t="s">
        <v>911</v>
      </c>
      <c r="P132" s="17"/>
      <c r="Q132" s="18"/>
      <c r="R132" s="19"/>
      <c r="S132" s="18"/>
    </row>
    <row r="133" customFormat="false" ht="43.25" hidden="false" customHeight="false" outlineLevel="0" collapsed="false">
      <c r="A133" s="14" t="n">
        <v>16</v>
      </c>
      <c r="B133" s="15" t="s">
        <v>45</v>
      </c>
      <c r="C133" s="14" t="s">
        <v>941</v>
      </c>
      <c r="D133" s="15" t="s">
        <v>942</v>
      </c>
      <c r="E133" s="14" t="s">
        <v>105</v>
      </c>
      <c r="F133" s="14" t="s">
        <v>134</v>
      </c>
      <c r="G133" s="14"/>
      <c r="H133" s="14" t="s">
        <v>69</v>
      </c>
      <c r="I133" s="14" t="s">
        <v>69</v>
      </c>
      <c r="J133" s="16" t="s">
        <v>23</v>
      </c>
      <c r="K133" s="15" t="s">
        <v>943</v>
      </c>
      <c r="L133" s="15" t="s">
        <v>944</v>
      </c>
      <c r="M133" s="15" t="s">
        <v>945</v>
      </c>
      <c r="N133" s="15" t="s">
        <v>946</v>
      </c>
      <c r="O133" s="14" t="s">
        <v>947</v>
      </c>
      <c r="P133" s="17"/>
      <c r="Q133" s="18"/>
      <c r="R133" s="19"/>
      <c r="S133" s="18"/>
    </row>
    <row r="134" customFormat="false" ht="43.25" hidden="false" customHeight="false" outlineLevel="0" collapsed="false">
      <c r="A134" s="14" t="n">
        <v>16</v>
      </c>
      <c r="B134" s="15" t="s">
        <v>45</v>
      </c>
      <c r="C134" s="14" t="s">
        <v>948</v>
      </c>
      <c r="D134" s="15" t="s">
        <v>949</v>
      </c>
      <c r="E134" s="14" t="s">
        <v>105</v>
      </c>
      <c r="F134" s="14" t="s">
        <v>134</v>
      </c>
      <c r="G134" s="14"/>
      <c r="H134" s="14" t="s">
        <v>69</v>
      </c>
      <c r="I134" s="14" t="s">
        <v>69</v>
      </c>
      <c r="J134" s="16" t="s">
        <v>23</v>
      </c>
      <c r="K134" s="15" t="s">
        <v>950</v>
      </c>
      <c r="L134" s="15" t="s">
        <v>951</v>
      </c>
      <c r="M134" s="15" t="s">
        <v>952</v>
      </c>
      <c r="N134" s="15" t="s">
        <v>481</v>
      </c>
      <c r="O134" s="14" t="s">
        <v>953</v>
      </c>
      <c r="P134" s="17"/>
      <c r="Q134" s="18"/>
      <c r="R134" s="19"/>
      <c r="S134" s="18"/>
    </row>
    <row r="135" customFormat="false" ht="22.35" hidden="false" customHeight="false" outlineLevel="0" collapsed="false">
      <c r="A135" s="14" t="n">
        <v>16</v>
      </c>
      <c r="B135" s="15" t="s">
        <v>45</v>
      </c>
      <c r="C135" s="14" t="s">
        <v>954</v>
      </c>
      <c r="D135" s="15" t="s">
        <v>955</v>
      </c>
      <c r="E135" s="14" t="s">
        <v>294</v>
      </c>
      <c r="F135" s="14" t="s">
        <v>134</v>
      </c>
      <c r="G135" s="14"/>
      <c r="H135" s="14" t="s">
        <v>69</v>
      </c>
      <c r="I135" s="14" t="s">
        <v>69</v>
      </c>
      <c r="J135" s="17" t="s">
        <v>24</v>
      </c>
      <c r="K135" s="15" t="s">
        <v>956</v>
      </c>
      <c r="L135" s="15" t="s">
        <v>957</v>
      </c>
      <c r="M135" s="15" t="s">
        <v>958</v>
      </c>
      <c r="N135" s="15" t="s">
        <v>481</v>
      </c>
      <c r="O135" s="14" t="s">
        <v>959</v>
      </c>
      <c r="P135" s="17"/>
      <c r="Q135" s="18"/>
      <c r="R135" s="19"/>
      <c r="S135" s="18"/>
    </row>
    <row r="136" customFormat="false" ht="32.8" hidden="false" customHeight="false" outlineLevel="0" collapsed="false">
      <c r="A136" s="14" t="n">
        <v>16</v>
      </c>
      <c r="B136" s="15" t="s">
        <v>45</v>
      </c>
      <c r="C136" s="14" t="s">
        <v>960</v>
      </c>
      <c r="D136" s="15" t="s">
        <v>961</v>
      </c>
      <c r="E136" s="14" t="s">
        <v>105</v>
      </c>
      <c r="F136" s="14" t="s">
        <v>134</v>
      </c>
      <c r="G136" s="14"/>
      <c r="H136" s="14" t="s">
        <v>69</v>
      </c>
      <c r="I136" s="14" t="s">
        <v>69</v>
      </c>
      <c r="J136" s="17" t="s">
        <v>24</v>
      </c>
      <c r="K136" s="15" t="s">
        <v>962</v>
      </c>
      <c r="L136" s="15" t="s">
        <v>963</v>
      </c>
      <c r="M136" s="15" t="s">
        <v>964</v>
      </c>
      <c r="N136" s="15" t="s">
        <v>481</v>
      </c>
      <c r="O136" s="14" t="s">
        <v>965</v>
      </c>
      <c r="P136" s="17"/>
      <c r="Q136" s="18"/>
      <c r="R136" s="19"/>
      <c r="S136" s="18"/>
    </row>
    <row r="137" customFormat="false" ht="43.25" hidden="false" customHeight="false" outlineLevel="0" collapsed="false">
      <c r="A137" s="14" t="n">
        <v>16</v>
      </c>
      <c r="B137" s="15" t="s">
        <v>45</v>
      </c>
      <c r="C137" s="14" t="s">
        <v>966</v>
      </c>
      <c r="D137" s="15" t="s">
        <v>967</v>
      </c>
      <c r="E137" s="14" t="s">
        <v>105</v>
      </c>
      <c r="F137" s="14" t="s">
        <v>134</v>
      </c>
      <c r="G137" s="14"/>
      <c r="H137" s="14" t="s">
        <v>69</v>
      </c>
      <c r="I137" s="14" t="s">
        <v>69</v>
      </c>
      <c r="J137" s="16" t="s">
        <v>23</v>
      </c>
      <c r="K137" s="15" t="s">
        <v>968</v>
      </c>
      <c r="L137" s="15" t="s">
        <v>969</v>
      </c>
      <c r="M137" s="15" t="s">
        <v>970</v>
      </c>
      <c r="N137" s="15" t="s">
        <v>481</v>
      </c>
      <c r="O137" s="14" t="s">
        <v>971</v>
      </c>
      <c r="P137" s="17"/>
      <c r="Q137" s="18"/>
      <c r="R137" s="19"/>
      <c r="S137" s="18"/>
    </row>
    <row r="138" customFormat="false" ht="43.25" hidden="false" customHeight="false" outlineLevel="0" collapsed="false">
      <c r="A138" s="14" t="n">
        <v>16</v>
      </c>
      <c r="B138" s="15" t="s">
        <v>45</v>
      </c>
      <c r="C138" s="14" t="s">
        <v>972</v>
      </c>
      <c r="D138" s="15" t="s">
        <v>973</v>
      </c>
      <c r="E138" s="14" t="s">
        <v>105</v>
      </c>
      <c r="F138" s="14" t="s">
        <v>85</v>
      </c>
      <c r="G138" s="14"/>
      <c r="H138" s="14"/>
      <c r="I138" s="14" t="s">
        <v>69</v>
      </c>
      <c r="J138" s="16" t="s">
        <v>23</v>
      </c>
      <c r="K138" s="15" t="s">
        <v>974</v>
      </c>
      <c r="L138" s="15" t="s">
        <v>975</v>
      </c>
      <c r="M138" s="15" t="s">
        <v>976</v>
      </c>
      <c r="N138" s="15" t="s">
        <v>977</v>
      </c>
      <c r="O138" s="14" t="s">
        <v>978</v>
      </c>
      <c r="P138" s="17"/>
      <c r="Q138" s="18"/>
      <c r="R138" s="19"/>
      <c r="S138" s="18"/>
    </row>
    <row r="139" customFormat="false" ht="32.8" hidden="false" customHeight="false" outlineLevel="0" collapsed="false">
      <c r="A139" s="14" t="n">
        <v>16</v>
      </c>
      <c r="B139" s="15" t="s">
        <v>45</v>
      </c>
      <c r="C139" s="14" t="s">
        <v>979</v>
      </c>
      <c r="D139" s="15" t="s">
        <v>980</v>
      </c>
      <c r="E139" s="14" t="s">
        <v>105</v>
      </c>
      <c r="F139" s="14" t="s">
        <v>85</v>
      </c>
      <c r="G139" s="14"/>
      <c r="H139" s="14"/>
      <c r="I139" s="14" t="s">
        <v>69</v>
      </c>
      <c r="J139" s="17" t="s">
        <v>24</v>
      </c>
      <c r="K139" s="15" t="s">
        <v>981</v>
      </c>
      <c r="L139" s="15" t="s">
        <v>982</v>
      </c>
      <c r="M139" s="15" t="s">
        <v>983</v>
      </c>
      <c r="N139" s="15" t="s">
        <v>984</v>
      </c>
      <c r="O139" s="14" t="s">
        <v>985</v>
      </c>
      <c r="P139" s="17"/>
      <c r="Q139" s="18"/>
      <c r="R139" s="19"/>
      <c r="S139" s="18"/>
    </row>
    <row r="140" customFormat="false" ht="22.35" hidden="false" customHeight="false" outlineLevel="0" collapsed="false">
      <c r="A140" s="14" t="n">
        <v>16</v>
      </c>
      <c r="B140" s="15" t="s">
        <v>45</v>
      </c>
      <c r="C140" s="14" t="s">
        <v>986</v>
      </c>
      <c r="D140" s="15" t="s">
        <v>987</v>
      </c>
      <c r="E140" s="14" t="s">
        <v>105</v>
      </c>
      <c r="F140" s="14" t="s">
        <v>134</v>
      </c>
      <c r="G140" s="14"/>
      <c r="H140" s="14"/>
      <c r="I140" s="14" t="s">
        <v>69</v>
      </c>
      <c r="J140" s="17" t="s">
        <v>24</v>
      </c>
      <c r="K140" s="15" t="s">
        <v>988</v>
      </c>
      <c r="L140" s="15" t="s">
        <v>989</v>
      </c>
      <c r="M140" s="15" t="s">
        <v>990</v>
      </c>
      <c r="N140" s="15" t="s">
        <v>991</v>
      </c>
      <c r="O140" s="14" t="s">
        <v>911</v>
      </c>
      <c r="P140" s="17"/>
      <c r="Q140" s="18"/>
      <c r="R140" s="19"/>
      <c r="S140" s="18"/>
    </row>
    <row r="141" customFormat="false" ht="32.8" hidden="false" customHeight="false" outlineLevel="0" collapsed="false">
      <c r="A141" s="14" t="n">
        <v>17</v>
      </c>
      <c r="B141" s="15" t="s">
        <v>46</v>
      </c>
      <c r="C141" s="14" t="s">
        <v>992</v>
      </c>
      <c r="D141" s="15" t="s">
        <v>993</v>
      </c>
      <c r="E141" s="14" t="s">
        <v>294</v>
      </c>
      <c r="F141" s="14" t="s">
        <v>155</v>
      </c>
      <c r="G141" s="14" t="s">
        <v>69</v>
      </c>
      <c r="H141" s="14" t="s">
        <v>69</v>
      </c>
      <c r="I141" s="14" t="s">
        <v>69</v>
      </c>
      <c r="J141" s="20" t="s">
        <v>25</v>
      </c>
      <c r="K141" s="15" t="s">
        <v>994</v>
      </c>
      <c r="L141" s="15" t="s">
        <v>995</v>
      </c>
      <c r="M141" s="15" t="s">
        <v>996</v>
      </c>
      <c r="N141" s="15" t="s">
        <v>481</v>
      </c>
      <c r="O141" s="14" t="s">
        <v>997</v>
      </c>
      <c r="P141" s="17"/>
      <c r="Q141" s="18"/>
      <c r="R141" s="19"/>
      <c r="S141" s="18"/>
    </row>
    <row r="142" customFormat="false" ht="32.8" hidden="false" customHeight="false" outlineLevel="0" collapsed="false">
      <c r="A142" s="14" t="n">
        <v>17</v>
      </c>
      <c r="B142" s="15" t="s">
        <v>46</v>
      </c>
      <c r="C142" s="14" t="s">
        <v>998</v>
      </c>
      <c r="D142" s="15" t="s">
        <v>999</v>
      </c>
      <c r="E142" s="14" t="s">
        <v>294</v>
      </c>
      <c r="F142" s="14" t="s">
        <v>155</v>
      </c>
      <c r="G142" s="14" t="s">
        <v>69</v>
      </c>
      <c r="H142" s="14" t="s">
        <v>69</v>
      </c>
      <c r="I142" s="14" t="s">
        <v>69</v>
      </c>
      <c r="J142" s="20" t="s">
        <v>25</v>
      </c>
      <c r="K142" s="15" t="s">
        <v>1000</v>
      </c>
      <c r="L142" s="15" t="s">
        <v>1001</v>
      </c>
      <c r="M142" s="15" t="s">
        <v>1002</v>
      </c>
      <c r="N142" s="15" t="s">
        <v>481</v>
      </c>
      <c r="O142" s="14" t="s">
        <v>1003</v>
      </c>
      <c r="P142" s="17"/>
      <c r="Q142" s="18"/>
      <c r="R142" s="19"/>
      <c r="S142" s="18"/>
    </row>
    <row r="143" customFormat="false" ht="32.8" hidden="false" customHeight="false" outlineLevel="0" collapsed="false">
      <c r="A143" s="14" t="n">
        <v>17</v>
      </c>
      <c r="B143" s="15" t="s">
        <v>46</v>
      </c>
      <c r="C143" s="14" t="s">
        <v>1004</v>
      </c>
      <c r="D143" s="15" t="s">
        <v>1005</v>
      </c>
      <c r="E143" s="14" t="s">
        <v>252</v>
      </c>
      <c r="F143" s="14" t="s">
        <v>155</v>
      </c>
      <c r="G143" s="14" t="s">
        <v>69</v>
      </c>
      <c r="H143" s="14" t="s">
        <v>69</v>
      </c>
      <c r="I143" s="14" t="s">
        <v>69</v>
      </c>
      <c r="J143" s="20" t="s">
        <v>25</v>
      </c>
      <c r="K143" s="15" t="s">
        <v>1006</v>
      </c>
      <c r="L143" s="15" t="s">
        <v>1007</v>
      </c>
      <c r="M143" s="15" t="s">
        <v>1008</v>
      </c>
      <c r="N143" s="15" t="s">
        <v>481</v>
      </c>
      <c r="O143" s="14" t="s">
        <v>997</v>
      </c>
      <c r="P143" s="17"/>
      <c r="Q143" s="18"/>
      <c r="R143" s="19"/>
      <c r="S143" s="18"/>
    </row>
    <row r="144" customFormat="false" ht="43.25" hidden="false" customHeight="false" outlineLevel="0" collapsed="false">
      <c r="A144" s="14" t="n">
        <v>17</v>
      </c>
      <c r="B144" s="15" t="s">
        <v>46</v>
      </c>
      <c r="C144" s="14" t="s">
        <v>1009</v>
      </c>
      <c r="D144" s="15" t="s">
        <v>1010</v>
      </c>
      <c r="E144" s="14" t="s">
        <v>252</v>
      </c>
      <c r="F144" s="14" t="s">
        <v>155</v>
      </c>
      <c r="G144" s="14"/>
      <c r="H144" s="14" t="s">
        <v>69</v>
      </c>
      <c r="I144" s="14" t="s">
        <v>69</v>
      </c>
      <c r="J144" s="16" t="s">
        <v>23</v>
      </c>
      <c r="K144" s="15" t="s">
        <v>1011</v>
      </c>
      <c r="L144" s="15" t="s">
        <v>1012</v>
      </c>
      <c r="M144" s="15" t="s">
        <v>1013</v>
      </c>
      <c r="N144" s="15" t="s">
        <v>1014</v>
      </c>
      <c r="O144" s="14" t="s">
        <v>1015</v>
      </c>
      <c r="P144" s="17"/>
      <c r="Q144" s="18"/>
      <c r="R144" s="19"/>
      <c r="S144" s="18"/>
    </row>
    <row r="145" customFormat="false" ht="22.35" hidden="false" customHeight="false" outlineLevel="0" collapsed="false">
      <c r="A145" s="14" t="n">
        <v>17</v>
      </c>
      <c r="B145" s="15" t="s">
        <v>46</v>
      </c>
      <c r="C145" s="14" t="s">
        <v>1016</v>
      </c>
      <c r="D145" s="15" t="s">
        <v>1017</v>
      </c>
      <c r="E145" s="14" t="s">
        <v>294</v>
      </c>
      <c r="F145" s="14" t="s">
        <v>155</v>
      </c>
      <c r="G145" s="14"/>
      <c r="H145" s="14" t="s">
        <v>69</v>
      </c>
      <c r="I145" s="14" t="s">
        <v>69</v>
      </c>
      <c r="J145" s="20" t="s">
        <v>25</v>
      </c>
      <c r="K145" s="15" t="s">
        <v>1018</v>
      </c>
      <c r="L145" s="15" t="s">
        <v>1019</v>
      </c>
      <c r="M145" s="15" t="s">
        <v>1020</v>
      </c>
      <c r="N145" s="15" t="s">
        <v>481</v>
      </c>
      <c r="O145" s="14" t="s">
        <v>997</v>
      </c>
      <c r="P145" s="17"/>
      <c r="Q145" s="18"/>
      <c r="R145" s="19"/>
      <c r="S145" s="18"/>
    </row>
    <row r="146" customFormat="false" ht="32.8" hidden="false" customHeight="false" outlineLevel="0" collapsed="false">
      <c r="A146" s="14" t="n">
        <v>17</v>
      </c>
      <c r="B146" s="15" t="s">
        <v>46</v>
      </c>
      <c r="C146" s="14" t="s">
        <v>1021</v>
      </c>
      <c r="D146" s="15" t="s">
        <v>1022</v>
      </c>
      <c r="E146" s="14" t="s">
        <v>252</v>
      </c>
      <c r="F146" s="14" t="s">
        <v>155</v>
      </c>
      <c r="G146" s="14"/>
      <c r="H146" s="14" t="s">
        <v>69</v>
      </c>
      <c r="I146" s="14" t="s">
        <v>69</v>
      </c>
      <c r="J146" s="17" t="s">
        <v>24</v>
      </c>
      <c r="K146" s="15" t="s">
        <v>1023</v>
      </c>
      <c r="L146" s="15" t="s">
        <v>1024</v>
      </c>
      <c r="M146" s="15" t="s">
        <v>1025</v>
      </c>
      <c r="N146" s="15" t="s">
        <v>481</v>
      </c>
      <c r="O146" s="14" t="s">
        <v>997</v>
      </c>
      <c r="P146" s="17"/>
      <c r="Q146" s="18"/>
      <c r="R146" s="19"/>
      <c r="S146" s="18"/>
    </row>
    <row r="147" customFormat="false" ht="32.8" hidden="false" customHeight="false" outlineLevel="0" collapsed="false">
      <c r="A147" s="14" t="n">
        <v>17</v>
      </c>
      <c r="B147" s="15" t="s">
        <v>46</v>
      </c>
      <c r="C147" s="14" t="s">
        <v>1026</v>
      </c>
      <c r="D147" s="15" t="s">
        <v>1027</v>
      </c>
      <c r="E147" s="14" t="s">
        <v>294</v>
      </c>
      <c r="F147" s="14" t="s">
        <v>658</v>
      </c>
      <c r="G147" s="14"/>
      <c r="H147" s="14" t="s">
        <v>69</v>
      </c>
      <c r="I147" s="14" t="s">
        <v>69</v>
      </c>
      <c r="J147" s="17" t="s">
        <v>24</v>
      </c>
      <c r="K147" s="15" t="s">
        <v>1028</v>
      </c>
      <c r="L147" s="15" t="s">
        <v>1029</v>
      </c>
      <c r="M147" s="15" t="s">
        <v>1030</v>
      </c>
      <c r="N147" s="15" t="s">
        <v>481</v>
      </c>
      <c r="O147" s="14" t="s">
        <v>997</v>
      </c>
      <c r="P147" s="17"/>
      <c r="Q147" s="18"/>
      <c r="R147" s="19"/>
      <c r="S147" s="18"/>
    </row>
    <row r="148" customFormat="false" ht="22.35" hidden="false" customHeight="false" outlineLevel="0" collapsed="false">
      <c r="A148" s="14" t="n">
        <v>17</v>
      </c>
      <c r="B148" s="15" t="s">
        <v>46</v>
      </c>
      <c r="C148" s="14" t="s">
        <v>1031</v>
      </c>
      <c r="D148" s="15" t="s">
        <v>1032</v>
      </c>
      <c r="E148" s="14" t="s">
        <v>294</v>
      </c>
      <c r="F148" s="14" t="s">
        <v>658</v>
      </c>
      <c r="G148" s="14"/>
      <c r="H148" s="14" t="s">
        <v>69</v>
      </c>
      <c r="I148" s="14" t="s">
        <v>69</v>
      </c>
      <c r="J148" s="17" t="s">
        <v>24</v>
      </c>
      <c r="K148" s="15" t="s">
        <v>1033</v>
      </c>
      <c r="L148" s="15" t="s">
        <v>1034</v>
      </c>
      <c r="M148" s="15" t="s">
        <v>1035</v>
      </c>
      <c r="N148" s="15" t="s">
        <v>481</v>
      </c>
      <c r="O148" s="14" t="s">
        <v>1036</v>
      </c>
      <c r="P148" s="17"/>
      <c r="Q148" s="18"/>
      <c r="R148" s="19"/>
      <c r="S148" s="18"/>
    </row>
    <row r="149" customFormat="false" ht="32.8" hidden="false" customHeight="false" outlineLevel="0" collapsed="false">
      <c r="A149" s="14" t="n">
        <v>17</v>
      </c>
      <c r="B149" s="15" t="s">
        <v>46</v>
      </c>
      <c r="C149" s="14" t="s">
        <v>1037</v>
      </c>
      <c r="D149" s="15" t="s">
        <v>1038</v>
      </c>
      <c r="E149" s="14" t="s">
        <v>252</v>
      </c>
      <c r="F149" s="14" t="s">
        <v>658</v>
      </c>
      <c r="G149" s="14"/>
      <c r="H149" s="14"/>
      <c r="I149" s="14" t="s">
        <v>69</v>
      </c>
      <c r="J149" s="16" t="s">
        <v>23</v>
      </c>
      <c r="K149" s="15" t="s">
        <v>1039</v>
      </c>
      <c r="L149" s="15" t="s">
        <v>1040</v>
      </c>
      <c r="M149" s="15" t="s">
        <v>1041</v>
      </c>
      <c r="N149" s="15" t="s">
        <v>810</v>
      </c>
      <c r="O149" s="14" t="s">
        <v>1042</v>
      </c>
      <c r="P149" s="17"/>
      <c r="Q149" s="18"/>
      <c r="R149" s="19"/>
      <c r="S149" s="18"/>
    </row>
    <row r="150" customFormat="false" ht="32.8" hidden="false" customHeight="false" outlineLevel="0" collapsed="false">
      <c r="A150" s="14" t="n">
        <v>18</v>
      </c>
      <c r="B150" s="15" t="s">
        <v>47</v>
      </c>
      <c r="C150" s="14" t="s">
        <v>1043</v>
      </c>
      <c r="D150" s="15" t="s">
        <v>1044</v>
      </c>
      <c r="E150" s="14" t="s">
        <v>252</v>
      </c>
      <c r="F150" s="14" t="s">
        <v>155</v>
      </c>
      <c r="G150" s="14"/>
      <c r="H150" s="14" t="s">
        <v>69</v>
      </c>
      <c r="I150" s="14" t="s">
        <v>69</v>
      </c>
      <c r="J150" s="20" t="s">
        <v>25</v>
      </c>
      <c r="K150" s="15" t="s">
        <v>1045</v>
      </c>
      <c r="L150" s="15" t="s">
        <v>1046</v>
      </c>
      <c r="M150" s="15" t="s">
        <v>1047</v>
      </c>
      <c r="N150" s="15" t="s">
        <v>481</v>
      </c>
      <c r="O150" s="14" t="s">
        <v>1048</v>
      </c>
      <c r="P150" s="17"/>
      <c r="Q150" s="18"/>
      <c r="R150" s="19"/>
      <c r="S150" s="18"/>
    </row>
    <row r="151" customFormat="false" ht="22.35" hidden="false" customHeight="false" outlineLevel="0" collapsed="false">
      <c r="A151" s="14" t="n">
        <v>18</v>
      </c>
      <c r="B151" s="15" t="s">
        <v>47</v>
      </c>
      <c r="C151" s="14" t="s">
        <v>1049</v>
      </c>
      <c r="D151" s="15" t="s">
        <v>1050</v>
      </c>
      <c r="E151" s="14" t="s">
        <v>230</v>
      </c>
      <c r="F151" s="14" t="s">
        <v>85</v>
      </c>
      <c r="G151" s="14"/>
      <c r="H151" s="14" t="s">
        <v>69</v>
      </c>
      <c r="I151" s="14" t="s">
        <v>69</v>
      </c>
      <c r="J151" s="17" t="s">
        <v>24</v>
      </c>
      <c r="K151" s="15" t="s">
        <v>1051</v>
      </c>
      <c r="L151" s="15" t="s">
        <v>1052</v>
      </c>
      <c r="M151" s="15" t="s">
        <v>1053</v>
      </c>
      <c r="N151" s="15" t="s">
        <v>984</v>
      </c>
      <c r="O151" s="14" t="s">
        <v>1048</v>
      </c>
      <c r="P151" s="17"/>
      <c r="Q151" s="18"/>
      <c r="R151" s="19"/>
      <c r="S151" s="18"/>
    </row>
    <row r="152" customFormat="false" ht="22.35" hidden="false" customHeight="false" outlineLevel="0" collapsed="false">
      <c r="A152" s="14" t="n">
        <v>18</v>
      </c>
      <c r="B152" s="15" t="s">
        <v>47</v>
      </c>
      <c r="C152" s="14" t="s">
        <v>1054</v>
      </c>
      <c r="D152" s="15" t="s">
        <v>1055</v>
      </c>
      <c r="E152" s="14" t="s">
        <v>230</v>
      </c>
      <c r="F152" s="14" t="s">
        <v>134</v>
      </c>
      <c r="G152" s="14"/>
      <c r="H152" s="14" t="s">
        <v>69</v>
      </c>
      <c r="I152" s="14" t="s">
        <v>69</v>
      </c>
      <c r="J152" s="16" t="s">
        <v>23</v>
      </c>
      <c r="K152" s="15" t="s">
        <v>1056</v>
      </c>
      <c r="L152" s="15" t="s">
        <v>1057</v>
      </c>
      <c r="M152" s="15" t="s">
        <v>1058</v>
      </c>
      <c r="N152" s="15" t="s">
        <v>481</v>
      </c>
      <c r="O152" s="14" t="s">
        <v>1059</v>
      </c>
      <c r="P152" s="17"/>
      <c r="Q152" s="18"/>
      <c r="R152" s="19"/>
      <c r="S152" s="18"/>
    </row>
    <row r="153" customFormat="false" ht="43.25" hidden="false" customHeight="false" outlineLevel="0" collapsed="false">
      <c r="A153" s="14" t="n">
        <v>18</v>
      </c>
      <c r="B153" s="15" t="s">
        <v>47</v>
      </c>
      <c r="C153" s="14" t="s">
        <v>1060</v>
      </c>
      <c r="D153" s="15" t="s">
        <v>1061</v>
      </c>
      <c r="E153" s="14" t="s">
        <v>230</v>
      </c>
      <c r="F153" s="14" t="s">
        <v>134</v>
      </c>
      <c r="G153" s="14"/>
      <c r="H153" s="14"/>
      <c r="I153" s="14" t="s">
        <v>69</v>
      </c>
      <c r="J153" s="16" t="s">
        <v>23</v>
      </c>
      <c r="K153" s="15" t="s">
        <v>1062</v>
      </c>
      <c r="L153" s="15" t="s">
        <v>1063</v>
      </c>
      <c r="M153" s="15" t="s">
        <v>1064</v>
      </c>
      <c r="N153" s="15" t="s">
        <v>481</v>
      </c>
      <c r="O153" s="14" t="s">
        <v>1065</v>
      </c>
      <c r="P153" s="17"/>
      <c r="Q153" s="18"/>
      <c r="R153" s="19"/>
      <c r="S153" s="18"/>
    </row>
    <row r="154" customFormat="false" ht="32.8" hidden="false" customHeight="false" outlineLevel="0" collapsed="false">
      <c r="A154" s="14" t="n">
        <v>18</v>
      </c>
      <c r="B154" s="15" t="s">
        <v>47</v>
      </c>
      <c r="C154" s="14" t="s">
        <v>1066</v>
      </c>
      <c r="D154" s="15" t="s">
        <v>1067</v>
      </c>
      <c r="E154" s="14" t="s">
        <v>230</v>
      </c>
      <c r="F154" s="14" t="s">
        <v>85</v>
      </c>
      <c r="G154" s="14"/>
      <c r="H154" s="14"/>
      <c r="I154" s="14" t="s">
        <v>69</v>
      </c>
      <c r="J154" s="17" t="s">
        <v>24</v>
      </c>
      <c r="K154" s="15" t="s">
        <v>1068</v>
      </c>
      <c r="L154" s="15" t="s">
        <v>1069</v>
      </c>
      <c r="M154" s="15" t="s">
        <v>1070</v>
      </c>
      <c r="N154" s="15" t="s">
        <v>984</v>
      </c>
      <c r="O154" s="14" t="s">
        <v>1048</v>
      </c>
      <c r="P154" s="17"/>
      <c r="Q154" s="18"/>
      <c r="R154" s="19"/>
      <c r="S154" s="18"/>
    </row>
  </sheetData>
  <autoFilter ref="A1:S154"/>
  <conditionalFormatting sqref="P2:P154">
    <cfRule type="expression" priority="2" aboveAverage="0" equalAverage="0" bottom="0" percent="0" rank="0" text="" dxfId="7">
      <formula>$P2="Implemented"</formula>
    </cfRule>
    <cfRule type="expression" priority="3" aboveAverage="0" equalAverage="0" bottom="0" percent="0" rank="0" text="" dxfId="8">
      <formula>$P2="In progress"</formula>
    </cfRule>
    <cfRule type="expression" priority="4" aboveAverage="0" equalAverage="0" bottom="0" percent="0" rank="0" text="" dxfId="9">
      <formula>$P2="Planned"</formula>
    </cfRule>
    <cfRule type="expression" priority="5" aboveAverage="0" equalAverage="0" bottom="0" percent="0" rank="0" text="" dxfId="10">
      <formula>$P2="Not started"</formula>
    </cfRule>
    <cfRule type="expression" priority="6" aboveAverage="0" equalAverage="0" bottom="0" percent="0" rank="0" text="" dxfId="11">
      <formula>$P2="Risk accepted"</formula>
    </cfRule>
    <cfRule type="expression" priority="7" aboveAverage="0" equalAverage="0" bottom="0" percent="0" rank="0" text="" dxfId="12">
      <formula>$P2="Not applicable"</formula>
    </cfRule>
  </conditionalFormatting>
  <dataValidations count="2">
    <dataValidation allowBlank="true" errorStyle="stop" operator="between" showDropDown="false" showErrorMessage="false" showInputMessage="false" sqref="P2:P154" type="list">
      <formula1>"Not started,Planned,In progress,Implemented,Risk accepted,Not applicable"</formula1>
      <formula2>0</formula2>
    </dataValidation>
    <dataValidation allowBlank="true" errorStyle="stop" operator="greaterThan" showDropDown="false" showErrorMessage="false" showInputMessage="false" sqref="R2:R154" type="date">
      <formula1>DATE(2020,1,1)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2026-10-13T18:31:33Z</dcterms:created>
  <dc:creator>openpyxl</dc:creator>
  <dc:description/>
  <dc:language>en-US</dc:language>
  <cp:lastModifiedBy/>
  <dcterms:modified xsi:type="dcterms:W3CDTF">2026-10-13T18:31:33Z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